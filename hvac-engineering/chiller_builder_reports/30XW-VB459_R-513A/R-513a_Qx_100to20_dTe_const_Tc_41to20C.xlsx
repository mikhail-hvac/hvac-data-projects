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ikhail.terekhov/Projects/hvac-engineering/chiller_builder_reports/30XW-VB459_R-513A/"/>
    </mc:Choice>
  </mc:AlternateContent>
  <xr:revisionPtr revIDLastSave="0" documentId="13_ncr:1_{4A94340F-2D23-0246-8E09-E95113FC881D}" xr6:coauthVersionLast="47" xr6:coauthVersionMax="47" xr10:uidLastSave="{00000000-0000-0000-0000-000000000000}"/>
  <bookViews>
    <workbookView xWindow="-38400" yWindow="-1860" windowWidth="38400" windowHeight="21600" xr2:uid="{00000000-000D-0000-FFFF-FFFF00000000}"/>
  </bookViews>
  <sheets>
    <sheet name="Table 1 (2)" sheetId="2" r:id="rId1"/>
    <sheet name="Table 1" sheetId="1" r:id="rId2"/>
  </sheets>
  <definedNames>
    <definedName name="_xlchart.v1.4" hidden="1">'Table 1 (2)'!$A$10</definedName>
    <definedName name="_xlchart.v1.5" hidden="1">'Table 1 (2)'!$A$14</definedName>
    <definedName name="_xlchart.v1.6" hidden="1">'Table 1 (2)'!$B$10:$K$10</definedName>
    <definedName name="_xlchart.v1.7" hidden="1">'Table 1 (2)'!$B$14:$K$14</definedName>
    <definedName name="_xlchart.v2.0" hidden="1">'Table 1 (2)'!$A$10</definedName>
    <definedName name="_xlchart.v2.1" hidden="1">'Table 1 (2)'!$A$14</definedName>
    <definedName name="_xlchart.v2.2" hidden="1">'Table 1 (2)'!$B$10:$K$10</definedName>
    <definedName name="_xlchart.v2.3" hidden="1">'Table 1 (2)'!$B$14:$K$14</definedName>
    <definedName name="ExternalData_1" localSheetId="0" hidden="1">'Table 1 (2)'!$A$1:$M$37</definedName>
  </definedName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72F259-4BBC-3245-BB71-15A674CD5244}" keepAlive="1" name="Запрос — Table 1" description="Соединение с запросом &quot;Table 1&quot; в книге." type="5" refreshedVersion="8" background="1" saveData="1">
    <dbPr connection="Provider=Microsoft.Mashup.OleDb.1;Data Source=$Workbook$;Location=&quot;Table 1&quot;;Extended Properties=&quot;&quot;" command="SELECT * FROM [Table 1]"/>
  </connection>
</connections>
</file>

<file path=xl/sharedStrings.xml><?xml version="1.0" encoding="utf-8"?>
<sst xmlns="http://schemas.openxmlformats.org/spreadsheetml/2006/main" count="123" uniqueCount="96">
  <si>
    <r>
      <rPr>
        <b/>
        <sz val="14"/>
        <color rgb="FF0000FF"/>
        <rFont val="Arial"/>
        <family val="2"/>
      </rPr>
      <t xml:space="preserve">Detailed Performance Summary For R-513a_Qx_100to20_dTe_const_Tc_41to20C
</t>
    </r>
    <r>
      <rPr>
        <sz val="9"/>
        <rFont val="Arial"/>
        <family val="2"/>
      </rPr>
      <t xml:space="preserve">Project: 30XW_China                                                                                                                                                                                                                                                             07.20.2026
</t>
    </r>
    <r>
      <rPr>
        <sz val="9"/>
        <rFont val="Arial"/>
        <family val="2"/>
      </rPr>
      <t>Prepared By: Mikhail Terekhov                                                                                                                                                                                                                                                       03:51</t>
    </r>
  </si>
  <si>
    <r>
      <rPr>
        <b/>
        <sz val="9"/>
        <rFont val="Arial"/>
        <family val="2"/>
      </rPr>
      <t>Load Line</t>
    </r>
  </si>
  <si>
    <r>
      <rPr>
        <b/>
        <sz val="9"/>
        <rFont val="Arial"/>
        <family val="2"/>
      </rPr>
      <t>Unit Performance</t>
    </r>
  </si>
  <si>
    <r>
      <rPr>
        <i/>
        <sz val="9"/>
        <rFont val="Arial"/>
        <family val="2"/>
      </rPr>
      <t>**</t>
    </r>
  </si>
  <si>
    <r>
      <rPr>
        <sz val="9"/>
        <rFont val="Arial"/>
        <family val="2"/>
      </rPr>
      <t>***</t>
    </r>
  </si>
  <si>
    <r>
      <rPr>
        <sz val="9"/>
        <rFont val="Arial"/>
        <family val="2"/>
      </rPr>
      <t>User-specified Cooling Capacity, kW</t>
    </r>
  </si>
  <si>
    <r>
      <rPr>
        <sz val="9"/>
        <rFont val="Arial"/>
        <family val="2"/>
      </rPr>
      <t>Percent of User-specified Cooling Capacity, %</t>
    </r>
  </si>
  <si>
    <r>
      <rPr>
        <sz val="9"/>
        <rFont val="Arial"/>
        <family val="2"/>
      </rPr>
      <t>Percent Full Load Cooling Capacity, %</t>
    </r>
  </si>
  <si>
    <r>
      <rPr>
        <sz val="9"/>
        <rFont val="Arial"/>
        <family val="2"/>
      </rPr>
      <t>Percent of Full Load Power, %</t>
    </r>
  </si>
  <si>
    <r>
      <rPr>
        <sz val="9"/>
        <rFont val="Arial"/>
        <family val="2"/>
      </rPr>
      <t>Unloading Sequence</t>
    </r>
  </si>
  <si>
    <r>
      <rPr>
        <i/>
        <sz val="9"/>
        <rFont val="Arial"/>
        <family val="2"/>
      </rPr>
      <t>Default</t>
    </r>
  </si>
  <si>
    <r>
      <rPr>
        <sz val="9"/>
        <rFont val="Arial"/>
        <family val="2"/>
      </rPr>
      <t>Default</t>
    </r>
  </si>
  <si>
    <r>
      <rPr>
        <sz val="9"/>
        <rFont val="Arial"/>
        <family val="2"/>
      </rPr>
      <t>Cooling Capacity, kW</t>
    </r>
  </si>
  <si>
    <r>
      <rPr>
        <i/>
        <sz val="9"/>
        <rFont val="Arial"/>
        <family val="2"/>
      </rPr>
      <t>1 462</t>
    </r>
  </si>
  <si>
    <r>
      <rPr>
        <sz val="9"/>
        <rFont val="Arial"/>
        <family val="2"/>
      </rPr>
      <t>1 000.</t>
    </r>
  </si>
  <si>
    <r>
      <rPr>
        <sz val="9"/>
        <rFont val="Arial"/>
        <family val="2"/>
      </rPr>
      <t>Heating Capacity, kW</t>
    </r>
  </si>
  <si>
    <r>
      <rPr>
        <i/>
        <sz val="9"/>
        <rFont val="Arial"/>
        <family val="2"/>
      </rPr>
      <t>1 791</t>
    </r>
  </si>
  <si>
    <r>
      <rPr>
        <sz val="9"/>
        <rFont val="Arial"/>
        <family val="2"/>
      </rPr>
      <t>1 236</t>
    </r>
  </si>
  <si>
    <r>
      <rPr>
        <sz val="9"/>
        <rFont val="Arial"/>
        <family val="2"/>
      </rPr>
      <t>1 110.</t>
    </r>
  </si>
  <si>
    <r>
      <rPr>
        <sz val="9"/>
        <rFont val="Arial"/>
        <family val="2"/>
      </rPr>
      <t>Total Unit Power, kW</t>
    </r>
  </si>
  <si>
    <r>
      <rPr>
        <sz val="9"/>
        <rFont val="Arial"/>
        <family val="2"/>
      </rPr>
      <t>Nominal Unit Current Draw (RLA)</t>
    </r>
  </si>
  <si>
    <r>
      <rPr>
        <sz val="9"/>
        <rFont val="Arial"/>
        <family val="2"/>
      </rPr>
      <t>---</t>
    </r>
  </si>
  <si>
    <r>
      <rPr>
        <sz val="9"/>
        <rFont val="Arial"/>
        <family val="2"/>
      </rPr>
      <t>Cooling Efficiency kW/kW</t>
    </r>
  </si>
  <si>
    <r>
      <rPr>
        <sz val="9"/>
        <rFont val="Arial"/>
        <family val="2"/>
      </rPr>
      <t>Heating Efficiency, kW/kW</t>
    </r>
  </si>
  <si>
    <r>
      <rPr>
        <sz val="9"/>
        <rFont val="Arial"/>
        <family val="2"/>
      </rPr>
      <t>A-Weighted Sound Pressure Level, dBA</t>
    </r>
  </si>
  <si>
    <r>
      <rPr>
        <sz val="9"/>
        <rFont val="Arial"/>
        <family val="2"/>
      </rPr>
      <t>-</t>
    </r>
  </si>
  <si>
    <r>
      <rPr>
        <b/>
        <sz val="9"/>
        <rFont val="Arial"/>
        <family val="2"/>
      </rPr>
      <t>Evaporator Data</t>
    </r>
  </si>
  <si>
    <r>
      <rPr>
        <sz val="9"/>
        <rFont val="Arial"/>
        <family val="2"/>
      </rPr>
      <t>Fluid Entering Temperature, °C</t>
    </r>
  </si>
  <si>
    <r>
      <rPr>
        <sz val="9"/>
        <rFont val="Arial"/>
        <family val="2"/>
      </rPr>
      <t>Fluid Leaving Temperature, °C</t>
    </r>
  </si>
  <si>
    <r>
      <rPr>
        <sz val="9"/>
        <rFont val="Arial"/>
        <family val="2"/>
      </rPr>
      <t>Fluid Flow Rate, L/s</t>
    </r>
  </si>
  <si>
    <r>
      <rPr>
        <sz val="9"/>
        <rFont val="Arial"/>
        <family val="2"/>
      </rPr>
      <t>Pressure Drop, kPa</t>
    </r>
  </si>
  <si>
    <r>
      <rPr>
        <sz val="9"/>
        <rFont val="Arial"/>
        <family val="2"/>
      </rPr>
      <t>Fouling Factor, (sqm-K)/kW</t>
    </r>
  </si>
  <si>
    <r>
      <rPr>
        <b/>
        <sz val="9"/>
        <rFont val="Arial"/>
        <family val="2"/>
      </rPr>
      <t>Condenser Data</t>
    </r>
  </si>
  <si>
    <r>
      <rPr>
        <sz val="9"/>
        <rFont val="Arial"/>
        <family val="2"/>
      </rPr>
      <t>Note:</t>
    </r>
  </si>
  <si>
    <r>
      <rPr>
        <sz val="9"/>
        <rFont val="Arial"/>
        <family val="2"/>
      </rPr>
      <t>(**): Column displaying effective unit full load performances</t>
    </r>
  </si>
  <si>
    <r>
      <rPr>
        <sz val="9"/>
        <rFont val="Arial"/>
        <family val="2"/>
      </rPr>
      <t>(***): Column displays unit performance at the 'required capacity' and design conditions specified</t>
    </r>
  </si>
  <si>
    <r>
      <rPr>
        <sz val="9"/>
        <rFont val="Arial"/>
        <family val="2"/>
      </rPr>
      <t>(1) Compressor cycling is expected. Stated performances are average.</t>
    </r>
  </si>
  <si>
    <r>
      <rPr>
        <sz val="9"/>
        <rFont val="Arial"/>
        <family val="2"/>
      </rPr>
      <t>Note: Performance is at nominal voltage. Chiller may unload if job site voltage is lower than 400 volts.</t>
    </r>
  </si>
  <si>
    <r>
      <rPr>
        <sz val="9"/>
        <rFont val="Arial"/>
        <family val="2"/>
      </rPr>
      <t>Sound pressure level was determined in accordance with AHRI Standard 575. Sound pressure level is the free field sound data (the unit is placed in free field over a reflecting plane).</t>
    </r>
  </si>
  <si>
    <r>
      <rPr>
        <sz val="9"/>
        <rFont val="Arial"/>
        <family val="2"/>
      </rPr>
      <t>Outside the scope of AHRI Water-Cooled Water-Chilling and Heat Pump Water-Heating Packages Certification Program or not optionally certified, but is rated in accordance with AHRI Standard</t>
    </r>
  </si>
  <si>
    <r>
      <rPr>
        <sz val="9"/>
        <rFont val="Arial"/>
        <family val="2"/>
      </rPr>
      <t>550/590 (I-P) and AHRI Standard 551/591 (SI).</t>
    </r>
  </si>
  <si>
    <r>
      <rPr>
        <sz val="9"/>
        <rFont val="Arial"/>
        <family val="2"/>
      </rPr>
      <t>Packaged Chiller Builder China Export 3.49                                                                                                                                                                                                                          Page 3 of 4</t>
    </r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</si>
  <si>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</si>
  <si>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</si>
  <si>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</si>
  <si>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</si>
  <si>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</si>
  <si>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</si>
  <si>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</si>
  <si>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</si>
  <si>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</si>
  <si>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</si>
  <si>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</si>
  <si>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</si>
  <si>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</si>
  <si>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Detailed Performance Summary For R-513a_Qx_100to20_dTe_const_Tc_41to20C
Project: 30XW_China                                                                                                                                                                                                                                                             07.20.2026
Prepared By: Mikhail Terekhov                                                                                                                                                                                                                                                       03:51</t>
  </si>
  <si>
    <t>Load Line</t>
  </si>
  <si>
    <t>Unit Performance</t>
  </si>
  <si>
    <t>**</t>
  </si>
  <si>
    <t>***</t>
  </si>
  <si>
    <t>User-specified Cooling Capacity, kW</t>
  </si>
  <si>
    <t>Percent of User-specified Cooling Capacity, %</t>
  </si>
  <si>
    <t>Percent Full Load Cooling Capacity, %</t>
  </si>
  <si>
    <t>Percent of Full Load Power, %</t>
  </si>
  <si>
    <t>Unloading Sequence</t>
  </si>
  <si>
    <t>Default</t>
  </si>
  <si>
    <t>Cooling Capacity, kW</t>
  </si>
  <si>
    <t>1 462</t>
  </si>
  <si>
    <t>1 000.</t>
  </si>
  <si>
    <t>Heating Capacity, kW</t>
  </si>
  <si>
    <t>1 791</t>
  </si>
  <si>
    <t>1 236</t>
  </si>
  <si>
    <t>1 110.</t>
  </si>
  <si>
    <t>Total Unit Power, kW</t>
  </si>
  <si>
    <t>Nominal Unit Current Draw (RLA)</t>
  </si>
  <si>
    <t>---</t>
  </si>
  <si>
    <t>Cooling Efficiency kW/kW</t>
  </si>
  <si>
    <t>Heating Efficiency, kW/kW</t>
  </si>
  <si>
    <t>A-Weighted Sound Pressure Level, dBA</t>
  </si>
  <si>
    <t>-</t>
  </si>
  <si>
    <t>Evaporator Data</t>
  </si>
  <si>
    <t>Fluid Entering Temperature, °C</t>
  </si>
  <si>
    <t>Fluid Leaving Temperature, °C</t>
  </si>
  <si>
    <t>Fluid Flow Rate, L/s</t>
  </si>
  <si>
    <t>Pressure Drop, kPa</t>
  </si>
  <si>
    <t>Fouling Factor, (sqm-K)/kW</t>
  </si>
  <si>
    <t>Condenser Data</t>
  </si>
  <si>
    <t>Note:</t>
  </si>
  <si>
    <t>(**): Column displaying effective unit full load performances</t>
  </si>
  <si>
    <t>(***): Column displays unit performance at the 'required capacity' and design conditions specified</t>
  </si>
  <si>
    <t>(1) Compressor cycling is expected. Stated performances are average.</t>
  </si>
  <si>
    <t>Note: Performance is at nominal voltage. Chiller may unload if job site voltage is lower than 400 volts.</t>
  </si>
  <si>
    <t>Sound pressure level was determined in accordance with AHRI Standard 575. Sound pressure level is the free field sound data (the unit is placed in free field over a reflecting plane).</t>
  </si>
  <si>
    <t>Outside the scope of AHRI Water-Cooled Water-Chilling and Heat Pump Water-Heating Packages Certification Program or not optionally certified, but is rated in accordance with AHRI Standard</t>
  </si>
  <si>
    <t>550/590 (I-P) and AHRI Standard 551/591 (SI).</t>
  </si>
  <si>
    <t>Packaged Chiller Builder China Export 3.49                                                                                                                                                                                                                          Page 3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</si>
</sst>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##0_);\(###0\)"/>
    <numFmt numFmtId="165" formatCode="###0.0;###0.0"/>
    <numFmt numFmtId="166" formatCode="###0;###0"/>
    <numFmt numFmtId="167" formatCode="###0.00;###0.00"/>
    <numFmt numFmtId="168" formatCode="###0.000;###0.000"/>
    <numFmt numFmtId="169" formatCode="###0.0000;###0.0000"/>
    <numFmt numFmtId="170" formatCode="#,##0.000;[Red]#,##0.000"/>
    <numFmt numFmtId="171" formatCode="#,##0.00;[Red]#,##0.00"/>
  </numFmts>
  <fonts count="7" x14ac:knownFonts="1">
    <font>
      <sz val="10"/>
      <color rgb="FF000000"/>
      <name val="Times New Roman"/>
      <charset val="204"/>
    </font>
    <font>
      <b/>
      <sz val="9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b/>
      <sz val="14"/>
      <color rgb="FF0000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FDFDF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10101"/>
      </left>
      <right style="thin">
        <color rgb="FF010101"/>
      </right>
      <top style="thin">
        <color rgb="FF010101"/>
      </top>
      <bottom style="thin">
        <color rgb="FF010101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2" fillId="2" borderId="4" xfId="0" applyFont="1" applyFill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0" fillId="0" borderId="4" xfId="0" applyBorder="1" applyAlignment="1">
      <alignment horizontal="left" vertical="top" wrapText="1"/>
    </xf>
    <xf numFmtId="164" fontId="4" fillId="0" borderId="4" xfId="0" applyNumberFormat="1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4" fillId="0" borderId="4" xfId="0" applyNumberFormat="1" applyFont="1" applyBorder="1" applyAlignment="1">
      <alignment horizontal="left" vertical="top" wrapText="1"/>
    </xf>
    <xf numFmtId="166" fontId="5" fillId="2" borderId="4" xfId="0" applyNumberFormat="1" applyFont="1" applyFill="1" applyBorder="1" applyAlignment="1">
      <alignment horizontal="center" vertical="top" wrapText="1"/>
    </xf>
    <xf numFmtId="167" fontId="4" fillId="0" borderId="4" xfId="0" applyNumberFormat="1" applyFont="1" applyBorder="1" applyAlignment="1">
      <alignment horizontal="left" vertical="top" wrapText="1"/>
    </xf>
    <xf numFmtId="165" fontId="5" fillId="2" borderId="4" xfId="0" applyNumberFormat="1" applyFont="1" applyFill="1" applyBorder="1" applyAlignment="1">
      <alignment horizontal="left" vertical="top" wrapText="1"/>
    </xf>
    <xf numFmtId="168" fontId="4" fillId="0" borderId="4" xfId="0" applyNumberFormat="1" applyFont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167" fontId="5" fillId="2" borderId="4" xfId="0" applyNumberFormat="1" applyFont="1" applyFill="1" applyBorder="1" applyAlignment="1">
      <alignment horizontal="left" vertical="top" wrapText="1"/>
    </xf>
    <xf numFmtId="168" fontId="5" fillId="2" borderId="4" xfId="0" applyNumberFormat="1" applyFont="1" applyFill="1" applyBorder="1" applyAlignment="1">
      <alignment horizontal="left" vertical="top" wrapText="1"/>
    </xf>
    <xf numFmtId="166" fontId="4" fillId="0" borderId="4" xfId="0" applyNumberFormat="1" applyFont="1" applyBorder="1" applyAlignment="1">
      <alignment horizontal="center" vertical="top" wrapText="1"/>
    </xf>
    <xf numFmtId="169" fontId="5" fillId="2" borderId="4" xfId="0" applyNumberFormat="1" applyFont="1" applyFill="1" applyBorder="1" applyAlignment="1">
      <alignment horizontal="left" vertical="top" wrapText="1"/>
    </xf>
    <xf numFmtId="169" fontId="4" fillId="0" borderId="4" xfId="0" applyNumberFormat="1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170" fontId="4" fillId="3" borderId="4" xfId="0" applyNumberFormat="1" applyFont="1" applyFill="1" applyBorder="1" applyAlignment="1">
      <alignment horizontal="left" vertical="top" wrapText="1"/>
    </xf>
    <xf numFmtId="171" fontId="3" fillId="3" borderId="4" xfId="0" applyNumberFormat="1" applyFont="1" applyFill="1" applyBorder="1" applyAlignment="1">
      <alignment horizontal="left" vertical="top" wrapText="1"/>
    </xf>
    <xf numFmtId="171" fontId="4" fillId="3" borderId="4" xfId="0" applyNumberFormat="1" applyFont="1" applyFill="1" applyBorder="1" applyAlignment="1">
      <alignment horizontal="left" vertical="top" wrapText="1"/>
    </xf>
    <xf numFmtId="0" fontId="0" fillId="0" borderId="0" xfId="0" applyNumberFormat="1" applyAlignment="1">
      <alignment horizontal="left" vertical="top"/>
    </xf>
  </cellXfs>
  <cellStyles count="1">
    <cellStyle name="Обычный" xfId="0" builtinId="0"/>
  </cellStyles>
  <dxfs count="1">
    <dxf>
      <numFmt numFmtId="0" formatCode="General"/>
      <alignment horizontal="left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'Table 1 (2)'!$A$14</c:f>
              <c:strCache>
                <c:ptCount val="1"/>
                <c:pt idx="0">
                  <c:v>Cooling Efficiency kW/kW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cat>
            <c:strRef>
              <c:f>'Table 1 (2)'!$B$10:$K$10</c:f>
              <c:strCache>
                <c:ptCount val="10"/>
                <c:pt idx="0">
                  <c:v>1 462</c:v>
                </c:pt>
                <c:pt idx="1">
                  <c:v>1 000.</c:v>
                </c:pt>
                <c:pt idx="2">
                  <c:v>900</c:v>
                </c:pt>
                <c:pt idx="3">
                  <c:v>800</c:v>
                </c:pt>
                <c:pt idx="4">
                  <c:v>700</c:v>
                </c:pt>
                <c:pt idx="5">
                  <c:v>600</c:v>
                </c:pt>
                <c:pt idx="6">
                  <c:v>500</c:v>
                </c:pt>
                <c:pt idx="7">
                  <c:v>400</c:v>
                </c:pt>
                <c:pt idx="8">
                  <c:v>300</c:v>
                </c:pt>
                <c:pt idx="9">
                  <c:v>200</c:v>
                </c:pt>
              </c:strCache>
            </c:strRef>
          </c:cat>
          <c:val>
            <c:numRef>
              <c:f>'Table 1 (2)'!$B$14:$K$14</c:f>
              <c:numCache>
                <c:formatCode>General</c:formatCode>
                <c:ptCount val="10"/>
                <c:pt idx="0">
                  <c:v>4.0259999999999998</c:v>
                </c:pt>
                <c:pt idx="1">
                  <c:v>3.8380000000000001</c:v>
                </c:pt>
                <c:pt idx="2">
                  <c:v>3.8279999999999998</c:v>
                </c:pt>
                <c:pt idx="3">
                  <c:v>3.9489999999999998</c:v>
                </c:pt>
                <c:pt idx="4">
                  <c:v>4.6849999999999996</c:v>
                </c:pt>
                <c:pt idx="5">
                  <c:v>5.173</c:v>
                </c:pt>
                <c:pt idx="6">
                  <c:v>5.9989999999999997</c:v>
                </c:pt>
                <c:pt idx="7">
                  <c:v>6.5919999999999996</c:v>
                </c:pt>
                <c:pt idx="8">
                  <c:v>7.83</c:v>
                </c:pt>
                <c:pt idx="9">
                  <c:v>8.0850000000000009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5A-9E40-AB4C-0C41DD059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4766911"/>
        <c:axId val="1654754815"/>
      </c:barChart>
      <c:catAx>
        <c:axId val="1654766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54754815"/>
        <c:crosses val="autoZero"/>
        <c:auto val="1"/>
        <c:lblAlgn val="ctr"/>
        <c:lblOffset val="100"/>
        <c:noMultiLvlLbl val="0"/>
      </c:catAx>
      <c:valAx>
        <c:axId val="1654754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54766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698500</xdr:colOff>
      <xdr:row>14</xdr:row>
      <xdr:rowOff>71120</xdr:rowOff>
    </xdr:from>
    <xdr:to>
      <xdr:col>15</xdr:col>
      <xdr:colOff>635000</xdr:colOff>
      <xdr:row>40</xdr:row>
      <xdr:rowOff>38100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6A23470-C081-926C-4360-E22EE9DD51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E30C9C5-8607-5F44-9A27-63512D459CBB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D41F48-98AF-8047-8806-99CC52EEF6FC}" name="Table_1" displayName="Table_1" ref="A1:M37" tableType="queryTable" totalsRowShown="0">
  <autoFilter ref="A1:M37" xr:uid="{90D41F48-98AF-8047-8806-99CC52EEF6FC}"/>
  <tableColumns count="13">
    <tableColumn id="1" xr3:uid="{A7631FE2-C4C9-2B41-9AF7-1C30CCA46C5C}" uniqueName="1" name="Column1" queryTableFieldId="1" dataDxfId="0"/>
    <tableColumn id="2" xr3:uid="{763BA6C9-0297-7D4C-A0C6-7C1288135899}" uniqueName="2" name="Column2" queryTableFieldId="2"/>
    <tableColumn id="3" xr3:uid="{BB1FDF5B-C54F-674A-AC97-C51FF47C1253}" uniqueName="3" name="Column3" queryTableFieldId="3"/>
    <tableColumn id="4" xr3:uid="{1C958B53-7CE6-B947-9203-A93C759F8131}" uniqueName="4" name="Column4" queryTableFieldId="4"/>
    <tableColumn id="5" xr3:uid="{8C2AA1A4-73D9-5447-90A1-70592416FFE3}" uniqueName="5" name="Column5" queryTableFieldId="5"/>
    <tableColumn id="6" xr3:uid="{AA5D9134-0AC6-9544-A561-EBABCF5DB9C3}" uniqueName="6" name="Column6" queryTableFieldId="6"/>
    <tableColumn id="7" xr3:uid="{13D81986-046B-EC42-824B-8A4E88DA0FA2}" uniqueName="7" name="Column7" queryTableFieldId="7"/>
    <tableColumn id="8" xr3:uid="{E3F94207-6007-0B49-8443-E0E6EB9E7EFE}" uniqueName="8" name="Column8" queryTableFieldId="8"/>
    <tableColumn id="9" xr3:uid="{6CFF9C28-B0BE-D34C-899D-11357E85DCA8}" uniqueName="9" name="Column9" queryTableFieldId="9"/>
    <tableColumn id="10" xr3:uid="{29B5F77E-62C5-7B41-852A-DBEA9C862DC7}" uniqueName="10" name="Column10" queryTableFieldId="10"/>
    <tableColumn id="11" xr3:uid="{F89F8161-CB2C-794E-884E-60D2032DDF49}" uniqueName="11" name="Column11" queryTableFieldId="11"/>
    <tableColumn id="12" xr3:uid="{35DD138A-FAEC-B143-9238-2E2DDEA74013}" uniqueName="12" name="Column12" queryTableFieldId="12"/>
    <tableColumn id="13" xr3:uid="{230EBD76-FCCB-C84C-91C8-19280040B7DD}" uniqueName="13" name="Column13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F15B2-2505-1D44-945C-C8DACD993293}">
  <dimension ref="A1:M37"/>
  <sheetViews>
    <sheetView tabSelected="1" workbookViewId="0">
      <selection activeCell="A14" activeCellId="1" sqref="A10:K10 A14:K14"/>
    </sheetView>
  </sheetViews>
  <sheetFormatPr baseColWidth="10" defaultRowHeight="13" x14ac:dyDescent="0.15"/>
  <cols>
    <col min="1" max="1" width="80.796875" bestFit="1" customWidth="1"/>
    <col min="2" max="9" width="12.3984375" bestFit="1" customWidth="1"/>
    <col min="10" max="13" width="13.3984375" bestFit="1" customWidth="1"/>
  </cols>
  <sheetData>
    <row r="1" spans="1:13" x14ac:dyDescent="0.1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</row>
    <row r="2" spans="1:13" x14ac:dyDescent="0.15">
      <c r="A2" s="28" t="s">
        <v>55</v>
      </c>
    </row>
    <row r="3" spans="1:13" x14ac:dyDescent="0.15">
      <c r="A3" s="28" t="s">
        <v>56</v>
      </c>
    </row>
    <row r="4" spans="1:13" x14ac:dyDescent="0.15">
      <c r="A4" s="28" t="s">
        <v>57</v>
      </c>
      <c r="B4" t="s">
        <v>58</v>
      </c>
      <c r="C4" t="s">
        <v>59</v>
      </c>
      <c r="K4">
        <v>-1</v>
      </c>
    </row>
    <row r="5" spans="1:13" x14ac:dyDescent="0.15">
      <c r="A5" s="28" t="s">
        <v>60</v>
      </c>
      <c r="C5">
        <v>1000</v>
      </c>
      <c r="D5">
        <v>900</v>
      </c>
      <c r="E5">
        <v>800</v>
      </c>
      <c r="F5">
        <v>700</v>
      </c>
      <c r="G5">
        <v>600</v>
      </c>
      <c r="H5">
        <v>500</v>
      </c>
      <c r="I5">
        <v>400</v>
      </c>
      <c r="J5">
        <v>300</v>
      </c>
      <c r="K5">
        <v>200</v>
      </c>
    </row>
    <row r="6" spans="1:13" x14ac:dyDescent="0.15">
      <c r="A6" s="28" t="s">
        <v>61</v>
      </c>
      <c r="B6">
        <v>146</v>
      </c>
      <c r="C6">
        <v>100</v>
      </c>
      <c r="D6">
        <v>90</v>
      </c>
      <c r="E6">
        <v>80</v>
      </c>
      <c r="F6">
        <v>70</v>
      </c>
      <c r="G6">
        <v>60</v>
      </c>
      <c r="H6">
        <v>50</v>
      </c>
      <c r="I6">
        <v>40</v>
      </c>
      <c r="J6">
        <v>30</v>
      </c>
      <c r="K6">
        <v>20</v>
      </c>
    </row>
    <row r="7" spans="1:13" x14ac:dyDescent="0.15">
      <c r="A7" s="28" t="s">
        <v>62</v>
      </c>
      <c r="B7">
        <v>100</v>
      </c>
      <c r="C7">
        <v>68.41</v>
      </c>
      <c r="D7">
        <v>61.57</v>
      </c>
      <c r="E7">
        <v>54.73</v>
      </c>
      <c r="F7">
        <v>47.89</v>
      </c>
      <c r="G7">
        <v>41.05</v>
      </c>
      <c r="H7">
        <v>34.21</v>
      </c>
      <c r="I7">
        <v>27.37</v>
      </c>
      <c r="J7">
        <v>20.52</v>
      </c>
      <c r="K7">
        <v>13.68</v>
      </c>
    </row>
    <row r="8" spans="1:13" x14ac:dyDescent="0.15">
      <c r="A8" s="28" t="s">
        <v>63</v>
      </c>
      <c r="B8">
        <v>100</v>
      </c>
      <c r="C8">
        <v>71.75</v>
      </c>
      <c r="D8">
        <v>64.760000000000005</v>
      </c>
      <c r="E8">
        <v>55.8</v>
      </c>
      <c r="F8">
        <v>41.15</v>
      </c>
      <c r="G8">
        <v>31.94</v>
      </c>
      <c r="H8">
        <v>22.95</v>
      </c>
      <c r="I8">
        <v>16.71</v>
      </c>
      <c r="J8">
        <v>10.55</v>
      </c>
      <c r="K8">
        <v>6.8120000000000003</v>
      </c>
    </row>
    <row r="9" spans="1:13" x14ac:dyDescent="0.15">
      <c r="A9" s="28" t="s">
        <v>64</v>
      </c>
      <c r="B9" t="s">
        <v>65</v>
      </c>
      <c r="C9" t="s">
        <v>65</v>
      </c>
      <c r="D9" t="s">
        <v>65</v>
      </c>
      <c r="E9" t="s">
        <v>65</v>
      </c>
      <c r="F9" t="s">
        <v>65</v>
      </c>
      <c r="G9" t="s">
        <v>65</v>
      </c>
      <c r="H9" t="s">
        <v>65</v>
      </c>
      <c r="I9" t="s">
        <v>65</v>
      </c>
      <c r="J9" t="s">
        <v>65</v>
      </c>
      <c r="K9" t="s">
        <v>65</v>
      </c>
    </row>
    <row r="10" spans="1:13" x14ac:dyDescent="0.15">
      <c r="A10" s="28" t="s">
        <v>66</v>
      </c>
      <c r="B10" t="s">
        <v>67</v>
      </c>
      <c r="C10" t="s">
        <v>68</v>
      </c>
      <c r="D10">
        <v>900</v>
      </c>
      <c r="E10">
        <v>800</v>
      </c>
      <c r="F10">
        <v>700</v>
      </c>
      <c r="G10">
        <v>600</v>
      </c>
      <c r="H10">
        <v>500</v>
      </c>
      <c r="I10">
        <v>400</v>
      </c>
      <c r="J10">
        <v>300</v>
      </c>
      <c r="K10">
        <v>200</v>
      </c>
    </row>
    <row r="11" spans="1:13" x14ac:dyDescent="0.15">
      <c r="A11" s="28" t="s">
        <v>69</v>
      </c>
      <c r="B11" t="s">
        <v>70</v>
      </c>
      <c r="C11" t="s">
        <v>71</v>
      </c>
      <c r="D11" t="s">
        <v>72</v>
      </c>
      <c r="E11">
        <v>979</v>
      </c>
      <c r="F11">
        <v>831.4</v>
      </c>
      <c r="G11">
        <v>701.6</v>
      </c>
      <c r="H11">
        <v>572.9</v>
      </c>
      <c r="I11">
        <v>452.8</v>
      </c>
      <c r="J11">
        <v>333.1</v>
      </c>
      <c r="K11">
        <v>220.8</v>
      </c>
    </row>
    <row r="12" spans="1:13" x14ac:dyDescent="0.15">
      <c r="A12" s="28" t="s">
        <v>73</v>
      </c>
      <c r="B12">
        <v>363.1</v>
      </c>
      <c r="C12">
        <v>260.5</v>
      </c>
      <c r="D12">
        <v>235.1</v>
      </c>
      <c r="E12">
        <v>202.6</v>
      </c>
      <c r="F12">
        <v>149.4</v>
      </c>
      <c r="G12">
        <v>116</v>
      </c>
      <c r="H12">
        <v>83.34</v>
      </c>
      <c r="I12">
        <v>60.68</v>
      </c>
      <c r="J12">
        <v>38.31</v>
      </c>
      <c r="K12">
        <v>24.74</v>
      </c>
    </row>
    <row r="13" spans="1:13" x14ac:dyDescent="0.15">
      <c r="A13" s="28" t="s">
        <v>74</v>
      </c>
      <c r="B13">
        <v>554.6</v>
      </c>
      <c r="C13">
        <v>397.6</v>
      </c>
      <c r="D13">
        <v>360.3</v>
      </c>
      <c r="E13">
        <v>313.10000000000002</v>
      </c>
      <c r="F13">
        <v>233.6</v>
      </c>
      <c r="G13">
        <v>181.8</v>
      </c>
      <c r="H13">
        <v>130.6</v>
      </c>
      <c r="I13">
        <v>95.1</v>
      </c>
      <c r="J13">
        <v>60</v>
      </c>
      <c r="K13" t="s">
        <v>75</v>
      </c>
    </row>
    <row r="14" spans="1:13" x14ac:dyDescent="0.15">
      <c r="A14" s="28" t="s">
        <v>76</v>
      </c>
      <c r="B14">
        <v>4.0259999999999998</v>
      </c>
      <c r="C14">
        <v>3.8380000000000001</v>
      </c>
      <c r="D14">
        <v>3.8279999999999998</v>
      </c>
      <c r="E14">
        <v>3.9489999999999998</v>
      </c>
      <c r="F14">
        <v>4.6849999999999996</v>
      </c>
      <c r="G14">
        <v>5.173</v>
      </c>
      <c r="H14">
        <v>5.9989999999999997</v>
      </c>
      <c r="I14">
        <v>6.5919999999999996</v>
      </c>
      <c r="J14">
        <v>7.83</v>
      </c>
      <c r="K14">
        <v>8.0850000000000009</v>
      </c>
    </row>
    <row r="15" spans="1:13" x14ac:dyDescent="0.15">
      <c r="A15" s="28" t="s">
        <v>77</v>
      </c>
      <c r="B15">
        <v>4.9320000000000004</v>
      </c>
      <c r="C15">
        <v>4.7450000000000001</v>
      </c>
      <c r="D15">
        <v>4.7229999999999999</v>
      </c>
      <c r="E15">
        <v>4.8319999999999999</v>
      </c>
      <c r="F15">
        <v>5.5650000000000004</v>
      </c>
      <c r="G15">
        <v>6.0490000000000004</v>
      </c>
      <c r="H15">
        <v>6.8739999999999997</v>
      </c>
      <c r="I15">
        <v>7.4630000000000001</v>
      </c>
      <c r="J15">
        <v>8.6950000000000003</v>
      </c>
      <c r="K15">
        <v>8.9250000000000007</v>
      </c>
    </row>
    <row r="16" spans="1:13" x14ac:dyDescent="0.15">
      <c r="A16" s="28" t="s">
        <v>78</v>
      </c>
      <c r="B16">
        <v>81</v>
      </c>
      <c r="C16">
        <v>77</v>
      </c>
      <c r="D16">
        <v>77</v>
      </c>
      <c r="E16">
        <v>78</v>
      </c>
      <c r="F16">
        <v>74</v>
      </c>
      <c r="G16">
        <v>73</v>
      </c>
      <c r="H16">
        <v>73</v>
      </c>
      <c r="I16">
        <v>73</v>
      </c>
      <c r="J16">
        <v>73</v>
      </c>
      <c r="K16" t="s">
        <v>79</v>
      </c>
    </row>
    <row r="17" spans="1:11" x14ac:dyDescent="0.15">
      <c r="A17" s="28" t="s">
        <v>80</v>
      </c>
    </row>
    <row r="18" spans="1:11" x14ac:dyDescent="0.15">
      <c r="A18" s="28" t="s">
        <v>81</v>
      </c>
      <c r="B18">
        <v>13</v>
      </c>
      <c r="C18">
        <v>13</v>
      </c>
      <c r="D18">
        <v>13</v>
      </c>
      <c r="E18">
        <v>13</v>
      </c>
      <c r="F18">
        <v>13</v>
      </c>
      <c r="G18">
        <v>12.86</v>
      </c>
      <c r="H18">
        <v>11.72</v>
      </c>
      <c r="I18">
        <v>10.57</v>
      </c>
      <c r="J18">
        <v>9.43</v>
      </c>
      <c r="K18">
        <v>8.2899999999999991</v>
      </c>
    </row>
    <row r="19" spans="1:11" x14ac:dyDescent="0.15">
      <c r="A19" s="28" t="s">
        <v>82</v>
      </c>
      <c r="B19">
        <v>6</v>
      </c>
      <c r="C19">
        <v>6</v>
      </c>
      <c r="D19">
        <v>6</v>
      </c>
      <c r="E19">
        <v>6</v>
      </c>
      <c r="F19">
        <v>6</v>
      </c>
      <c r="G19">
        <v>6</v>
      </c>
      <c r="H19">
        <v>6</v>
      </c>
      <c r="I19">
        <v>6</v>
      </c>
      <c r="J19">
        <v>6</v>
      </c>
      <c r="K19">
        <v>6</v>
      </c>
    </row>
    <row r="20" spans="1:11" x14ac:dyDescent="0.15">
      <c r="A20" s="28" t="s">
        <v>83</v>
      </c>
      <c r="B20">
        <v>49.78</v>
      </c>
      <c r="C20">
        <v>33.99</v>
      </c>
      <c r="D20">
        <v>30.59</v>
      </c>
      <c r="E20">
        <v>27.19</v>
      </c>
      <c r="F20">
        <v>23.79</v>
      </c>
      <c r="G20">
        <v>20.81</v>
      </c>
      <c r="H20">
        <v>20.8</v>
      </c>
      <c r="I20">
        <v>20.8</v>
      </c>
      <c r="J20">
        <v>20.8</v>
      </c>
      <c r="K20">
        <v>20.8</v>
      </c>
    </row>
    <row r="21" spans="1:11" x14ac:dyDescent="0.15">
      <c r="A21" s="28" t="s">
        <v>84</v>
      </c>
      <c r="B21">
        <v>28.5</v>
      </c>
      <c r="C21">
        <v>15</v>
      </c>
      <c r="D21">
        <v>15</v>
      </c>
      <c r="E21">
        <v>15</v>
      </c>
      <c r="F21">
        <v>15</v>
      </c>
      <c r="G21">
        <v>15</v>
      </c>
      <c r="H21">
        <v>15</v>
      </c>
      <c r="I21">
        <v>15</v>
      </c>
      <c r="J21">
        <v>15</v>
      </c>
      <c r="K21">
        <v>15</v>
      </c>
    </row>
    <row r="22" spans="1:11" x14ac:dyDescent="0.15">
      <c r="A22" s="28" t="s">
        <v>85</v>
      </c>
      <c r="B22">
        <v>1.7999999999999999E-2</v>
      </c>
      <c r="C22">
        <v>1.7999999999999999E-2</v>
      </c>
      <c r="D22">
        <v>1.7999999999999999E-2</v>
      </c>
      <c r="E22">
        <v>1.7999999999999999E-2</v>
      </c>
      <c r="F22">
        <v>1.7999999999999999E-2</v>
      </c>
      <c r="G22">
        <v>1.7999999999999999E-2</v>
      </c>
      <c r="H22">
        <v>1.7999999999999999E-2</v>
      </c>
      <c r="I22">
        <v>1.7999999999999999E-2</v>
      </c>
      <c r="J22">
        <v>1.7999999999999999E-2</v>
      </c>
      <c r="K22">
        <v>1.7999999999999999E-2</v>
      </c>
    </row>
    <row r="23" spans="1:11" x14ac:dyDescent="0.15">
      <c r="A23" s="28" t="s">
        <v>86</v>
      </c>
    </row>
    <row r="24" spans="1:11" x14ac:dyDescent="0.15">
      <c r="A24" s="28" t="s">
        <v>81</v>
      </c>
      <c r="B24">
        <v>41</v>
      </c>
      <c r="C24">
        <v>41</v>
      </c>
      <c r="D24">
        <v>40</v>
      </c>
      <c r="E24">
        <v>39</v>
      </c>
      <c r="F24">
        <v>35</v>
      </c>
      <c r="G24">
        <v>32</v>
      </c>
      <c r="H24">
        <v>29</v>
      </c>
      <c r="I24">
        <v>26</v>
      </c>
      <c r="J24">
        <v>23</v>
      </c>
      <c r="K24">
        <v>20</v>
      </c>
    </row>
    <row r="25" spans="1:11" x14ac:dyDescent="0.15">
      <c r="A25" s="28" t="s">
        <v>82</v>
      </c>
      <c r="B25">
        <v>49</v>
      </c>
      <c r="C25">
        <v>49</v>
      </c>
      <c r="D25">
        <v>47.24</v>
      </c>
      <c r="E25">
        <v>45.39</v>
      </c>
      <c r="F25">
        <v>40.43</v>
      </c>
      <c r="G25">
        <v>36.590000000000003</v>
      </c>
      <c r="H25">
        <v>32.76</v>
      </c>
      <c r="I25">
        <v>28.97</v>
      </c>
      <c r="J25">
        <v>25.19</v>
      </c>
      <c r="K25">
        <v>21.45</v>
      </c>
    </row>
    <row r="26" spans="1:11" x14ac:dyDescent="0.15">
      <c r="A26" s="28" t="s">
        <v>83</v>
      </c>
      <c r="B26">
        <v>58.89</v>
      </c>
      <c r="C26">
        <v>40.520000000000003</v>
      </c>
      <c r="D26">
        <v>40.479999999999997</v>
      </c>
      <c r="E26">
        <v>40.450000000000003</v>
      </c>
      <c r="F26">
        <v>40.380000000000003</v>
      </c>
      <c r="G26">
        <v>40.32</v>
      </c>
      <c r="H26">
        <v>40.270000000000003</v>
      </c>
      <c r="I26">
        <v>40.21</v>
      </c>
      <c r="J26">
        <v>40.17</v>
      </c>
      <c r="K26">
        <v>40.1</v>
      </c>
    </row>
    <row r="27" spans="1:11" x14ac:dyDescent="0.15">
      <c r="A27" s="28" t="s">
        <v>84</v>
      </c>
      <c r="B27">
        <v>42.7</v>
      </c>
      <c r="C27">
        <v>21.5</v>
      </c>
      <c r="D27">
        <v>21.7</v>
      </c>
      <c r="E27">
        <v>21.9</v>
      </c>
      <c r="F27">
        <v>22.6</v>
      </c>
      <c r="G27">
        <v>23.1</v>
      </c>
      <c r="H27">
        <v>23.7</v>
      </c>
      <c r="I27">
        <v>24.4</v>
      </c>
      <c r="J27">
        <v>25.1</v>
      </c>
      <c r="K27">
        <v>25.9</v>
      </c>
    </row>
    <row r="28" spans="1:11" x14ac:dyDescent="0.15">
      <c r="A28" s="28" t="s">
        <v>85</v>
      </c>
      <c r="B28">
        <v>4.3999999999999997E-2</v>
      </c>
      <c r="C28">
        <v>4.3999999999999997E-2</v>
      </c>
      <c r="D28">
        <v>4.3999999999999997E-2</v>
      </c>
      <c r="E28">
        <v>4.3999999999999997E-2</v>
      </c>
      <c r="F28">
        <v>4.3999999999999997E-2</v>
      </c>
      <c r="G28">
        <v>4.3999999999999997E-2</v>
      </c>
      <c r="H28">
        <v>4.3999999999999997E-2</v>
      </c>
      <c r="I28">
        <v>4.3999999999999997E-2</v>
      </c>
      <c r="J28">
        <v>4.3999999999999997E-2</v>
      </c>
      <c r="K28">
        <v>4.3999999999999997E-2</v>
      </c>
    </row>
    <row r="29" spans="1:11" x14ac:dyDescent="0.15">
      <c r="A29" s="28" t="s">
        <v>87</v>
      </c>
    </row>
    <row r="30" spans="1:11" x14ac:dyDescent="0.15">
      <c r="A30" s="28" t="s">
        <v>88</v>
      </c>
    </row>
    <row r="31" spans="1:11" x14ac:dyDescent="0.15">
      <c r="A31" s="28" t="s">
        <v>89</v>
      </c>
    </row>
    <row r="32" spans="1:11" x14ac:dyDescent="0.15">
      <c r="A32" s="28" t="s">
        <v>90</v>
      </c>
    </row>
    <row r="33" spans="1:1" x14ac:dyDescent="0.15">
      <c r="A33" s="28" t="s">
        <v>91</v>
      </c>
    </row>
    <row r="34" spans="1:1" x14ac:dyDescent="0.15">
      <c r="A34" s="28" t="s">
        <v>92</v>
      </c>
    </row>
    <row r="35" spans="1:1" x14ac:dyDescent="0.15">
      <c r="A35" s="28" t="s">
        <v>93</v>
      </c>
    </row>
    <row r="36" spans="1:1" x14ac:dyDescent="0.15">
      <c r="A36" s="28" t="s">
        <v>94</v>
      </c>
    </row>
    <row r="37" spans="1:1" x14ac:dyDescent="0.15">
      <c r="A37" s="28" t="s">
        <v>95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workbookViewId="0">
      <selection activeCell="C9" sqref="C9:K9"/>
    </sheetView>
  </sheetViews>
  <sheetFormatPr baseColWidth="10" defaultColWidth="9" defaultRowHeight="13" x14ac:dyDescent="0.15"/>
  <cols>
    <col min="1" max="1" width="38.3984375" customWidth="1"/>
    <col min="2" max="5" width="11.59765625" customWidth="1"/>
    <col min="6" max="6" width="12.59765625" customWidth="1"/>
    <col min="7" max="11" width="11.59765625" customWidth="1"/>
    <col min="12" max="12" width="23.3984375" customWidth="1"/>
    <col min="13" max="13" width="3.3984375" customWidth="1"/>
  </cols>
  <sheetData>
    <row r="1" spans="1:12" ht="36" customHeight="1" x14ac:dyDescent="0.15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4"/>
    </row>
    <row r="2" spans="1:12" ht="12" customHeight="1" x14ac:dyDescent="0.15">
      <c r="A2" s="1" t="s">
        <v>1</v>
      </c>
    </row>
    <row r="3" spans="1:12" ht="11" customHeight="1" x14ac:dyDescent="0.15">
      <c r="A3" s="2" t="s">
        <v>2</v>
      </c>
      <c r="B3" s="3" t="s">
        <v>3</v>
      </c>
      <c r="C3" s="4" t="s">
        <v>4</v>
      </c>
      <c r="D3" s="5"/>
      <c r="E3" s="5"/>
      <c r="F3" s="5"/>
      <c r="G3" s="5"/>
      <c r="H3" s="5"/>
      <c r="I3" s="5"/>
      <c r="J3" s="5"/>
      <c r="K3" s="6">
        <v>-1</v>
      </c>
    </row>
    <row r="4" spans="1:12" ht="10" customHeight="1" x14ac:dyDescent="0.15">
      <c r="A4" s="7" t="s">
        <v>5</v>
      </c>
      <c r="B4" s="8"/>
      <c r="C4" s="9">
        <v>1000</v>
      </c>
      <c r="D4" s="9">
        <v>900</v>
      </c>
      <c r="E4" s="9">
        <v>800</v>
      </c>
      <c r="F4" s="9">
        <v>700</v>
      </c>
      <c r="G4" s="9">
        <v>600</v>
      </c>
      <c r="H4" s="9">
        <v>500</v>
      </c>
      <c r="I4" s="9">
        <v>400</v>
      </c>
      <c r="J4" s="9">
        <v>300</v>
      </c>
      <c r="K4" s="9">
        <v>200</v>
      </c>
    </row>
    <row r="5" spans="1:12" ht="21" customHeight="1" x14ac:dyDescent="0.15">
      <c r="A5" s="7" t="s">
        <v>6</v>
      </c>
      <c r="B5" s="10">
        <v>146</v>
      </c>
      <c r="C5" s="11">
        <v>100</v>
      </c>
      <c r="D5" s="11">
        <v>90</v>
      </c>
      <c r="E5" s="11">
        <v>80</v>
      </c>
      <c r="F5" s="11">
        <v>70</v>
      </c>
      <c r="G5" s="11">
        <v>60</v>
      </c>
      <c r="H5" s="11">
        <v>50</v>
      </c>
      <c r="I5" s="11">
        <v>40</v>
      </c>
      <c r="J5" s="11">
        <v>30</v>
      </c>
      <c r="K5" s="11">
        <v>20</v>
      </c>
    </row>
    <row r="6" spans="1:12" ht="10" customHeight="1" x14ac:dyDescent="0.15">
      <c r="A6" s="7" t="s">
        <v>7</v>
      </c>
      <c r="B6" s="12">
        <v>100</v>
      </c>
      <c r="C6" s="11">
        <v>68.41</v>
      </c>
      <c r="D6" s="11">
        <v>61.57</v>
      </c>
      <c r="E6" s="11">
        <v>54.73</v>
      </c>
      <c r="F6" s="11">
        <v>47.89</v>
      </c>
      <c r="G6" s="11">
        <v>41.05</v>
      </c>
      <c r="H6" s="11">
        <v>34.21</v>
      </c>
      <c r="I6" s="11">
        <v>27.37</v>
      </c>
      <c r="J6" s="11">
        <v>20.52</v>
      </c>
      <c r="K6" s="11">
        <v>13.68</v>
      </c>
    </row>
    <row r="7" spans="1:12" ht="10" customHeight="1" x14ac:dyDescent="0.15">
      <c r="A7" s="7" t="s">
        <v>8</v>
      </c>
      <c r="B7" s="12">
        <v>100</v>
      </c>
      <c r="C7" s="11">
        <v>71.75</v>
      </c>
      <c r="D7" s="11">
        <v>64.760000000000005</v>
      </c>
      <c r="E7" s="11">
        <v>55.8</v>
      </c>
      <c r="F7" s="11">
        <v>41.15</v>
      </c>
      <c r="G7" s="11">
        <v>31.94</v>
      </c>
      <c r="H7" s="11">
        <v>22.95</v>
      </c>
      <c r="I7" s="11">
        <v>16.71</v>
      </c>
      <c r="J7" s="11">
        <v>10.55</v>
      </c>
      <c r="K7" s="13">
        <v>6.8120000000000003</v>
      </c>
    </row>
    <row r="8" spans="1:12" ht="10" customHeight="1" x14ac:dyDescent="0.15">
      <c r="A8" s="7" t="s">
        <v>9</v>
      </c>
      <c r="B8" s="14" t="s">
        <v>10</v>
      </c>
      <c r="C8" s="7" t="s">
        <v>11</v>
      </c>
      <c r="D8" s="7" t="s">
        <v>11</v>
      </c>
      <c r="E8" s="7" t="s">
        <v>11</v>
      </c>
      <c r="F8" s="7" t="s">
        <v>11</v>
      </c>
      <c r="G8" s="7" t="s">
        <v>11</v>
      </c>
      <c r="H8" s="7" t="s">
        <v>11</v>
      </c>
      <c r="I8" s="7" t="s">
        <v>11</v>
      </c>
      <c r="J8" s="7" t="s">
        <v>11</v>
      </c>
      <c r="K8" s="7" t="s">
        <v>11</v>
      </c>
    </row>
    <row r="9" spans="1:12" ht="19" customHeight="1" x14ac:dyDescent="0.15">
      <c r="A9" s="7" t="s">
        <v>12</v>
      </c>
      <c r="B9" s="14" t="s">
        <v>13</v>
      </c>
      <c r="C9" s="26" t="s">
        <v>14</v>
      </c>
      <c r="D9" s="27">
        <v>900</v>
      </c>
      <c r="E9" s="27">
        <v>800</v>
      </c>
      <c r="F9" s="27">
        <v>700</v>
      </c>
      <c r="G9" s="27">
        <v>600</v>
      </c>
      <c r="H9" s="27">
        <v>500</v>
      </c>
      <c r="I9" s="27">
        <v>400</v>
      </c>
      <c r="J9" s="27">
        <v>300</v>
      </c>
      <c r="K9" s="27">
        <v>200</v>
      </c>
    </row>
    <row r="10" spans="1:12" ht="10" customHeight="1" x14ac:dyDescent="0.15">
      <c r="A10" s="7" t="s">
        <v>15</v>
      </c>
      <c r="B10" s="14" t="s">
        <v>16</v>
      </c>
      <c r="C10" s="7" t="s">
        <v>17</v>
      </c>
      <c r="D10" s="7" t="s">
        <v>18</v>
      </c>
      <c r="E10" s="9">
        <v>979</v>
      </c>
      <c r="F10" s="9">
        <v>831.4</v>
      </c>
      <c r="G10" s="9">
        <v>701.6</v>
      </c>
      <c r="H10" s="9">
        <v>572.9</v>
      </c>
      <c r="I10" s="9">
        <v>452.8</v>
      </c>
      <c r="J10" s="9">
        <v>333.1</v>
      </c>
      <c r="K10" s="9">
        <v>220.8</v>
      </c>
    </row>
    <row r="11" spans="1:12" ht="10" customHeight="1" x14ac:dyDescent="0.15">
      <c r="A11" s="7" t="s">
        <v>19</v>
      </c>
      <c r="B11" s="12">
        <v>363.1</v>
      </c>
      <c r="C11" s="9">
        <v>260.5</v>
      </c>
      <c r="D11" s="9">
        <v>235.1</v>
      </c>
      <c r="E11" s="9">
        <v>202.6</v>
      </c>
      <c r="F11" s="9">
        <v>149.4</v>
      </c>
      <c r="G11" s="9">
        <v>116</v>
      </c>
      <c r="H11" s="11">
        <v>83.34</v>
      </c>
      <c r="I11" s="11">
        <v>60.68</v>
      </c>
      <c r="J11" s="11">
        <v>38.31</v>
      </c>
      <c r="K11" s="11">
        <v>24.74</v>
      </c>
    </row>
    <row r="12" spans="1:12" ht="10" customHeight="1" x14ac:dyDescent="0.15">
      <c r="A12" s="7" t="s">
        <v>20</v>
      </c>
      <c r="B12" s="15">
        <v>554.6</v>
      </c>
      <c r="C12" s="9">
        <v>397.6</v>
      </c>
      <c r="D12" s="9">
        <v>360.3</v>
      </c>
      <c r="E12" s="9">
        <v>313.10000000000002</v>
      </c>
      <c r="F12" s="9">
        <v>233.6</v>
      </c>
      <c r="G12" s="9">
        <v>181.8</v>
      </c>
      <c r="H12" s="9">
        <v>130.6</v>
      </c>
      <c r="I12" s="9">
        <v>95.1</v>
      </c>
      <c r="J12" s="9">
        <v>60</v>
      </c>
      <c r="K12" s="4" t="s">
        <v>21</v>
      </c>
    </row>
    <row r="13" spans="1:12" ht="14" customHeight="1" x14ac:dyDescent="0.15">
      <c r="A13" s="7" t="s">
        <v>22</v>
      </c>
      <c r="B13" s="16">
        <v>4.0259999999999998</v>
      </c>
      <c r="C13" s="25">
        <v>3.8380000000000001</v>
      </c>
      <c r="D13" s="25">
        <v>3.8279999999999998</v>
      </c>
      <c r="E13" s="25">
        <v>3.9489999999999998</v>
      </c>
      <c r="F13" s="25">
        <v>4.6849999999999996</v>
      </c>
      <c r="G13" s="25">
        <v>5.173</v>
      </c>
      <c r="H13" s="25">
        <v>5.9989999999999997</v>
      </c>
      <c r="I13" s="25">
        <v>6.5919999999999996</v>
      </c>
      <c r="J13" s="25">
        <v>7.83</v>
      </c>
      <c r="K13" s="25">
        <v>8.0850000000000009</v>
      </c>
    </row>
    <row r="14" spans="1:12" ht="10" customHeight="1" x14ac:dyDescent="0.15">
      <c r="A14" s="7" t="s">
        <v>23</v>
      </c>
      <c r="B14" s="16">
        <v>4.9320000000000004</v>
      </c>
      <c r="C14" s="13">
        <v>4.7450000000000001</v>
      </c>
      <c r="D14" s="13">
        <v>4.7229999999999999</v>
      </c>
      <c r="E14" s="13">
        <v>4.8319999999999999</v>
      </c>
      <c r="F14" s="13">
        <v>5.5650000000000004</v>
      </c>
      <c r="G14" s="13">
        <v>6.0490000000000004</v>
      </c>
      <c r="H14" s="13">
        <v>6.8739999999999997</v>
      </c>
      <c r="I14" s="13">
        <v>7.4630000000000001</v>
      </c>
      <c r="J14" s="13">
        <v>8.6950000000000003</v>
      </c>
      <c r="K14" s="13">
        <v>8.9250000000000007</v>
      </c>
    </row>
    <row r="15" spans="1:12" ht="10" customHeight="1" x14ac:dyDescent="0.15">
      <c r="A15" s="7" t="s">
        <v>24</v>
      </c>
      <c r="B15" s="10">
        <v>81</v>
      </c>
      <c r="C15" s="17">
        <v>77</v>
      </c>
      <c r="D15" s="17">
        <v>77</v>
      </c>
      <c r="E15" s="17">
        <v>78</v>
      </c>
      <c r="F15" s="17">
        <v>74</v>
      </c>
      <c r="G15" s="17">
        <v>73</v>
      </c>
      <c r="H15" s="17">
        <v>73</v>
      </c>
      <c r="I15" s="17">
        <v>73</v>
      </c>
      <c r="J15" s="17">
        <v>73</v>
      </c>
      <c r="K15" s="4" t="s">
        <v>25</v>
      </c>
    </row>
    <row r="16" spans="1:12" ht="11" customHeight="1" x14ac:dyDescent="0.15">
      <c r="A16" s="2" t="s">
        <v>26</v>
      </c>
      <c r="B16" s="8"/>
      <c r="C16" s="5"/>
      <c r="D16" s="5"/>
      <c r="E16" s="5"/>
      <c r="F16" s="5"/>
      <c r="G16" s="5"/>
      <c r="H16" s="5"/>
      <c r="I16" s="5"/>
      <c r="J16" s="5"/>
      <c r="K16" s="5"/>
    </row>
    <row r="17" spans="1:11" ht="10" customHeight="1" x14ac:dyDescent="0.15">
      <c r="A17" s="7" t="s">
        <v>27</v>
      </c>
      <c r="B17" s="15">
        <v>13</v>
      </c>
      <c r="C17" s="11">
        <v>13</v>
      </c>
      <c r="D17" s="11">
        <v>13</v>
      </c>
      <c r="E17" s="11">
        <v>13</v>
      </c>
      <c r="F17" s="11">
        <v>13</v>
      </c>
      <c r="G17" s="11">
        <v>12.86</v>
      </c>
      <c r="H17" s="11">
        <v>11.72</v>
      </c>
      <c r="I17" s="11">
        <v>10.57</v>
      </c>
      <c r="J17" s="11">
        <v>9.43</v>
      </c>
      <c r="K17" s="11">
        <v>8.2899999999999991</v>
      </c>
    </row>
    <row r="18" spans="1:11" ht="10" customHeight="1" x14ac:dyDescent="0.15">
      <c r="A18" s="7" t="s">
        <v>28</v>
      </c>
      <c r="B18" s="15">
        <v>6</v>
      </c>
      <c r="C18" s="11">
        <v>6</v>
      </c>
      <c r="D18" s="11">
        <v>6</v>
      </c>
      <c r="E18" s="11">
        <v>6</v>
      </c>
      <c r="F18" s="11">
        <v>6</v>
      </c>
      <c r="G18" s="11">
        <v>6</v>
      </c>
      <c r="H18" s="11">
        <v>6</v>
      </c>
      <c r="I18" s="11">
        <v>6</v>
      </c>
      <c r="J18" s="11">
        <v>6</v>
      </c>
      <c r="K18" s="11">
        <v>6</v>
      </c>
    </row>
    <row r="19" spans="1:11" ht="10" customHeight="1" x14ac:dyDescent="0.15">
      <c r="A19" s="7" t="s">
        <v>29</v>
      </c>
      <c r="B19" s="15">
        <v>49.78</v>
      </c>
      <c r="C19" s="11">
        <v>33.99</v>
      </c>
      <c r="D19" s="11">
        <v>30.59</v>
      </c>
      <c r="E19" s="11">
        <v>27.19</v>
      </c>
      <c r="F19" s="11">
        <v>23.79</v>
      </c>
      <c r="G19" s="11">
        <v>20.81</v>
      </c>
      <c r="H19" s="11">
        <v>20.8</v>
      </c>
      <c r="I19" s="11">
        <v>20.8</v>
      </c>
      <c r="J19" s="11">
        <v>20.8</v>
      </c>
      <c r="K19" s="11">
        <v>20.8</v>
      </c>
    </row>
    <row r="20" spans="1:11" ht="10" customHeight="1" x14ac:dyDescent="0.15">
      <c r="A20" s="7" t="s">
        <v>30</v>
      </c>
      <c r="B20" s="12">
        <v>28.5</v>
      </c>
      <c r="C20" s="9">
        <v>15</v>
      </c>
      <c r="D20" s="9">
        <v>15</v>
      </c>
      <c r="E20" s="9">
        <v>15</v>
      </c>
      <c r="F20" s="9">
        <v>15</v>
      </c>
      <c r="G20" s="9">
        <v>15</v>
      </c>
      <c r="H20" s="9">
        <v>15</v>
      </c>
      <c r="I20" s="9">
        <v>15</v>
      </c>
      <c r="J20" s="9">
        <v>15</v>
      </c>
      <c r="K20" s="9">
        <v>15</v>
      </c>
    </row>
    <row r="21" spans="1:11" ht="10" customHeight="1" x14ac:dyDescent="0.15">
      <c r="A21" s="7" t="s">
        <v>31</v>
      </c>
      <c r="B21" s="18">
        <v>1.7999999999999999E-2</v>
      </c>
      <c r="C21" s="19">
        <v>1.7999999999999999E-2</v>
      </c>
      <c r="D21" s="19">
        <v>1.7999999999999999E-2</v>
      </c>
      <c r="E21" s="19">
        <v>1.7999999999999999E-2</v>
      </c>
      <c r="F21" s="19">
        <v>1.7999999999999999E-2</v>
      </c>
      <c r="G21" s="19">
        <v>1.7999999999999999E-2</v>
      </c>
      <c r="H21" s="19">
        <v>1.7999999999999999E-2</v>
      </c>
      <c r="I21" s="19">
        <v>1.7999999999999999E-2</v>
      </c>
      <c r="J21" s="19">
        <v>1.7999999999999999E-2</v>
      </c>
      <c r="K21" s="19">
        <v>1.7999999999999999E-2</v>
      </c>
    </row>
    <row r="22" spans="1:11" ht="11" customHeight="1" x14ac:dyDescent="0.15">
      <c r="A22" s="2" t="s">
        <v>32</v>
      </c>
      <c r="B22" s="8"/>
      <c r="C22" s="5"/>
      <c r="D22" s="5"/>
      <c r="E22" s="5"/>
      <c r="F22" s="5"/>
      <c r="G22" s="5"/>
      <c r="H22" s="5"/>
      <c r="I22" s="5"/>
      <c r="J22" s="5"/>
      <c r="K22" s="5"/>
    </row>
    <row r="23" spans="1:11" ht="10" customHeight="1" x14ac:dyDescent="0.15">
      <c r="A23" s="7" t="s">
        <v>27</v>
      </c>
      <c r="B23" s="15">
        <v>41</v>
      </c>
      <c r="C23" s="11">
        <v>41</v>
      </c>
      <c r="D23" s="11">
        <v>40</v>
      </c>
      <c r="E23" s="11">
        <v>39</v>
      </c>
      <c r="F23" s="11">
        <v>35</v>
      </c>
      <c r="G23" s="11">
        <v>32</v>
      </c>
      <c r="H23" s="11">
        <v>29</v>
      </c>
      <c r="I23" s="11">
        <v>26</v>
      </c>
      <c r="J23" s="11">
        <v>23</v>
      </c>
      <c r="K23" s="11">
        <v>20</v>
      </c>
    </row>
    <row r="24" spans="1:11" ht="10" customHeight="1" x14ac:dyDescent="0.15">
      <c r="A24" s="7" t="s">
        <v>28</v>
      </c>
      <c r="B24" s="15">
        <v>49</v>
      </c>
      <c r="C24" s="11">
        <v>49</v>
      </c>
      <c r="D24" s="11">
        <v>47.24</v>
      </c>
      <c r="E24" s="11">
        <v>45.39</v>
      </c>
      <c r="F24" s="11">
        <v>40.43</v>
      </c>
      <c r="G24" s="11">
        <v>36.590000000000003</v>
      </c>
      <c r="H24" s="11">
        <v>32.76</v>
      </c>
      <c r="I24" s="11">
        <v>28.97</v>
      </c>
      <c r="J24" s="11">
        <v>25.19</v>
      </c>
      <c r="K24" s="11">
        <v>21.45</v>
      </c>
    </row>
    <row r="25" spans="1:11" ht="10" customHeight="1" x14ac:dyDescent="0.15">
      <c r="A25" s="7" t="s">
        <v>29</v>
      </c>
      <c r="B25" s="15">
        <v>58.89</v>
      </c>
      <c r="C25" s="11">
        <v>40.520000000000003</v>
      </c>
      <c r="D25" s="11">
        <v>40.479999999999997</v>
      </c>
      <c r="E25" s="11">
        <v>40.450000000000003</v>
      </c>
      <c r="F25" s="11">
        <v>40.380000000000003</v>
      </c>
      <c r="G25" s="11">
        <v>40.32</v>
      </c>
      <c r="H25" s="11">
        <v>40.270000000000003</v>
      </c>
      <c r="I25" s="11">
        <v>40.21</v>
      </c>
      <c r="J25" s="11">
        <v>40.17</v>
      </c>
      <c r="K25" s="11">
        <v>40.1</v>
      </c>
    </row>
    <row r="26" spans="1:11" ht="10" customHeight="1" x14ac:dyDescent="0.15">
      <c r="A26" s="7" t="s">
        <v>30</v>
      </c>
      <c r="B26" s="12">
        <v>42.7</v>
      </c>
      <c r="C26" s="9">
        <v>21.5</v>
      </c>
      <c r="D26" s="9">
        <v>21.7</v>
      </c>
      <c r="E26" s="9">
        <v>21.9</v>
      </c>
      <c r="F26" s="9">
        <v>22.6</v>
      </c>
      <c r="G26" s="9">
        <v>23.1</v>
      </c>
      <c r="H26" s="9">
        <v>23.7</v>
      </c>
      <c r="I26" s="9">
        <v>24.4</v>
      </c>
      <c r="J26" s="9">
        <v>25.1</v>
      </c>
      <c r="K26" s="9">
        <v>25.9</v>
      </c>
    </row>
    <row r="27" spans="1:11" ht="11" customHeight="1" x14ac:dyDescent="0.15">
      <c r="A27" s="7" t="s">
        <v>31</v>
      </c>
      <c r="B27" s="18">
        <v>4.3999999999999997E-2</v>
      </c>
      <c r="C27" s="19">
        <v>4.3999999999999997E-2</v>
      </c>
      <c r="D27" s="19">
        <v>4.3999999999999997E-2</v>
      </c>
      <c r="E27" s="19">
        <v>4.3999999999999997E-2</v>
      </c>
      <c r="F27" s="19">
        <v>4.3999999999999997E-2</v>
      </c>
      <c r="G27" s="19">
        <v>4.3999999999999997E-2</v>
      </c>
      <c r="H27" s="19">
        <v>4.3999999999999997E-2</v>
      </c>
      <c r="I27" s="19">
        <v>4.3999999999999997E-2</v>
      </c>
      <c r="J27" s="19">
        <v>4.3999999999999997E-2</v>
      </c>
      <c r="K27" s="19">
        <v>4.3999999999999997E-2</v>
      </c>
    </row>
    <row r="28" spans="1:11" ht="12" customHeight="1" x14ac:dyDescent="0.15">
      <c r="A28" s="20" t="s">
        <v>33</v>
      </c>
    </row>
    <row r="29" spans="1:11" ht="12" customHeight="1" x14ac:dyDescent="0.15">
      <c r="A29" s="20" t="s">
        <v>34</v>
      </c>
    </row>
    <row r="30" spans="1:11" ht="12" customHeight="1" x14ac:dyDescent="0.15">
      <c r="A30" s="20" t="s">
        <v>35</v>
      </c>
    </row>
    <row r="31" spans="1:11" ht="12" customHeight="1" x14ac:dyDescent="0.15">
      <c r="A31" s="20" t="s">
        <v>36</v>
      </c>
    </row>
    <row r="32" spans="1:11" ht="12" customHeight="1" x14ac:dyDescent="0.15">
      <c r="A32" s="21" t="s">
        <v>37</v>
      </c>
    </row>
    <row r="33" spans="1:1" ht="12" customHeight="1" x14ac:dyDescent="0.15">
      <c r="A33" s="21" t="s">
        <v>38</v>
      </c>
    </row>
    <row r="34" spans="1:1" ht="12" customHeight="1" x14ac:dyDescent="0.15">
      <c r="A34" s="21" t="s">
        <v>39</v>
      </c>
    </row>
    <row r="35" spans="1:1" ht="12" customHeight="1" x14ac:dyDescent="0.15">
      <c r="A35" s="21" t="s">
        <v>40</v>
      </c>
    </row>
    <row r="36" spans="1:1" ht="12" customHeight="1" x14ac:dyDescent="0.15">
      <c r="A36" s="20" t="s">
        <v>41</v>
      </c>
    </row>
  </sheetData>
  <mergeCells count="1">
    <mergeCell ref="A1:L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467092-7EFD-464C-A0BF-9BF97A9CEE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Table 1 (2)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Mikhail Terekhov</cp:lastModifiedBy>
  <dcterms:created xsi:type="dcterms:W3CDTF">2026-07-20T15:56:27Z</dcterms:created>
  <dcterms:modified xsi:type="dcterms:W3CDTF">2026-07-20T14:26:13Z</dcterms:modified>
</cp:coreProperties>
</file>