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ocumentations\@SEMINARS\@2021\GES-2\"/>
    </mc:Choice>
  </mc:AlternateContent>
  <xr:revisionPtr revIDLastSave="0" documentId="8_{02803078-D2ED-4201-BEE2-9E34D7E4379C}" xr6:coauthVersionLast="46" xr6:coauthVersionMax="46" xr10:uidLastSave="{00000000-0000-0000-0000-000000000000}"/>
  <bookViews>
    <workbookView xWindow="-28920" yWindow="-120" windowWidth="29040" windowHeight="15840" tabRatio="741" xr2:uid="{00000000-000D-0000-FFFF-FFFF00000000}"/>
  </bookViews>
  <sheets>
    <sheet name="ВОДА на градирни" sheetId="23" r:id="rId1"/>
    <sheet name="Лист1" sheetId="24" r:id="rId2"/>
    <sheet name="Лист2" sheetId="25" r:id="rId3"/>
  </sheets>
  <externalReferences>
    <externalReference r:id="rId4"/>
    <externalReference r:id="rId5"/>
    <externalReference r:id="rId6"/>
    <externalReference r:id="rId7"/>
  </externalReferences>
  <definedNames>
    <definedName name="_Тип_гликоля">#REF!</definedName>
    <definedName name="FANKPD" localSheetId="0">'[1]Характеристики систем'!$A$1</definedName>
    <definedName name="FANKPD">'[2]Характеристики систем'!$A$1</definedName>
    <definedName name="Тл" localSheetId="0">'[3]Исходные данные'!$B$3</definedName>
    <definedName name="Тл">'[4]Исходные данные'!$B$3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3" l="1"/>
  <c r="D6" i="23" l="1"/>
  <c r="D5" i="23"/>
  <c r="D4" i="23"/>
  <c r="D3" i="23"/>
  <c r="D2" i="23"/>
</calcChain>
</file>

<file path=xl/sharedStrings.xml><?xml version="1.0" encoding="utf-8"?>
<sst xmlns="http://schemas.openxmlformats.org/spreadsheetml/2006/main" count="16" uniqueCount="16">
  <si>
    <t>Орошение, л/с</t>
  </si>
  <si>
    <t>Испарение, л/с</t>
  </si>
  <si>
    <t>Слив, л/с</t>
  </si>
  <si>
    <t>Подпитка, л/с</t>
  </si>
  <si>
    <t>Рабочий объем поддона, л.</t>
  </si>
  <si>
    <t>Час</t>
  </si>
  <si>
    <t>3 шт</t>
  </si>
  <si>
    <t>Реальное водопотребление</t>
  </si>
  <si>
    <t>Работающие ХМ</t>
  </si>
  <si>
    <t>Работающие МГ</t>
  </si>
  <si>
    <t>Cooling load, kW</t>
  </si>
  <si>
    <t>Make-Up, m3/hour</t>
  </si>
  <si>
    <t>HFL-1084P, кВт</t>
  </si>
  <si>
    <t>Heat recovery</t>
  </si>
  <si>
    <t>Heat rejection (cooling towers), kW</t>
  </si>
  <si>
    <t>23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</si>
</sst>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00"/>
    <numFmt numFmtId="166" formatCode="0.0"/>
  </numFmts>
  <fonts count="28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5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8"/>
        <bgColor indexed="64"/>
      </patternFill>
    </fill>
    <fill>
      <patternFill patternType="solid">
        <fgColor rgb="FFFFED9B"/>
        <bgColor indexed="64"/>
      </patternFill>
    </fill>
    <fill>
      <patternFill patternType="solid">
        <fgColor rgb="FFFFEE9B"/>
        <bgColor indexed="64"/>
      </patternFill>
    </fill>
    <fill>
      <patternFill patternType="solid">
        <fgColor rgb="FFFFEF9C"/>
        <bgColor indexed="64"/>
      </patternFill>
    </fill>
    <fill>
      <patternFill patternType="solid">
        <fgColor rgb="FFFFE492"/>
        <bgColor indexed="64"/>
      </patternFill>
    </fill>
    <fill>
      <patternFill patternType="solid">
        <fgColor rgb="FFFF9045"/>
        <bgColor indexed="64"/>
      </patternFill>
    </fill>
    <fill>
      <patternFill patternType="solid">
        <fgColor rgb="FFFF8439"/>
        <bgColor indexed="64"/>
      </patternFill>
    </fill>
    <fill>
      <patternFill patternType="solid">
        <fgColor rgb="FFFF8036"/>
        <bgColor indexed="64"/>
      </patternFill>
    </fill>
    <fill>
      <patternFill patternType="solid">
        <fgColor rgb="FFFF7E34"/>
        <bgColor indexed="64"/>
      </patternFill>
    </fill>
    <fill>
      <patternFill patternType="solid">
        <fgColor rgb="FFFF8238"/>
        <bgColor indexed="64"/>
      </patternFill>
    </fill>
    <fill>
      <patternFill patternType="solid">
        <fgColor rgb="FFFF7F35"/>
        <bgColor indexed="64"/>
      </patternFill>
    </fill>
    <fill>
      <patternFill patternType="solid">
        <fgColor rgb="FFFF8339"/>
        <bgColor indexed="64"/>
      </patternFill>
    </fill>
    <fill>
      <patternFill patternType="solid">
        <fgColor rgb="FFFF8137"/>
        <bgColor indexed="64"/>
      </patternFill>
    </fill>
    <fill>
      <patternFill patternType="solid">
        <fgColor rgb="FFFF7B31"/>
        <bgColor indexed="64"/>
      </patternFill>
    </fill>
    <fill>
      <patternFill patternType="solid">
        <fgColor rgb="FFFF7229"/>
        <bgColor indexed="64"/>
      </patternFill>
    </fill>
    <fill>
      <patternFill patternType="solid">
        <fgColor rgb="FFFF7128"/>
        <bgColor indexed="64"/>
      </patternFill>
    </fill>
    <fill>
      <patternFill patternType="solid">
        <fgColor rgb="FFFF9145"/>
        <bgColor indexed="64"/>
      </patternFill>
    </fill>
    <fill>
      <patternFill patternType="solid">
        <fgColor rgb="FFFF984C"/>
        <bgColor indexed="64"/>
      </patternFill>
    </fill>
    <fill>
      <patternFill patternType="solid">
        <fgColor rgb="FFFFB96B"/>
        <bgColor indexed="64"/>
      </patternFill>
    </fill>
    <fill>
      <patternFill patternType="solid">
        <fgColor rgb="FFFFC07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882DA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6">
    <xf numFmtId="0" fontId="0" fillId="0" borderId="0"/>
    <xf numFmtId="0" fontId="2" fillId="0" borderId="0" applyNumberFormat="0" applyFont="0" applyFill="0" applyBorder="0" applyAlignment="0" applyProtection="0">
      <alignment vertical="top"/>
    </xf>
    <xf numFmtId="0" fontId="2" fillId="0" borderId="0"/>
    <xf numFmtId="0" fontId="1" fillId="0" borderId="0"/>
    <xf numFmtId="0" fontId="5" fillId="0" borderId="0"/>
    <xf numFmtId="0" fontId="1" fillId="0" borderId="0"/>
    <xf numFmtId="0" fontId="6" fillId="0" borderId="0"/>
    <xf numFmtId="0" fontId="2" fillId="0" borderId="0"/>
    <xf numFmtId="0" fontId="5" fillId="0" borderId="0"/>
    <xf numFmtId="0" fontId="4" fillId="0" borderId="0"/>
    <xf numFmtId="0" fontId="2" fillId="0" borderId="0"/>
    <xf numFmtId="0" fontId="2" fillId="0" borderId="0" applyNumberFormat="0" applyFont="0" applyFill="0" applyBorder="0" applyAlignment="0" applyProtection="0">
      <alignment vertical="top"/>
    </xf>
    <xf numFmtId="0" fontId="3" fillId="0" borderId="0"/>
    <xf numFmtId="0" fontId="23" fillId="23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16" fillId="7" borderId="18" applyNumberFormat="0" applyAlignment="0" applyProtection="0"/>
    <xf numFmtId="0" fontId="17" fillId="8" borderId="19" applyNumberFormat="0" applyAlignment="0" applyProtection="0"/>
    <xf numFmtId="0" fontId="18" fillId="8" borderId="18" applyNumberFormat="0" applyAlignment="0" applyProtection="0"/>
    <xf numFmtId="0" fontId="10" fillId="0" borderId="15" applyNumberFormat="0" applyFill="0" applyAlignment="0" applyProtection="0"/>
    <xf numFmtId="0" fontId="11" fillId="0" borderId="16" applyNumberFormat="0" applyFill="0" applyAlignment="0" applyProtection="0"/>
    <xf numFmtId="0" fontId="12" fillId="0" borderId="17" applyNumberFormat="0" applyFill="0" applyAlignment="0" applyProtection="0"/>
    <xf numFmtId="0" fontId="12" fillId="0" borderId="0" applyNumberFormat="0" applyFill="0" applyBorder="0" applyAlignment="0" applyProtection="0"/>
    <xf numFmtId="0" fontId="9" fillId="0" borderId="23" applyNumberFormat="0" applyFill="0" applyAlignment="0" applyProtection="0"/>
    <xf numFmtId="0" fontId="20" fillId="9" borderId="21" applyNumberFormat="0" applyAlignment="0" applyProtection="0"/>
    <xf numFmtId="0" fontId="15" fillId="6" borderId="0" applyNumberFormat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5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10" borderId="22" applyNumberFormat="0" applyFont="0" applyAlignment="0" applyProtection="0"/>
    <xf numFmtId="0" fontId="6" fillId="10" borderId="22" applyNumberFormat="0" applyFont="0" applyAlignment="0" applyProtection="0"/>
    <xf numFmtId="0" fontId="6" fillId="10" borderId="22" applyNumberFormat="0" applyFont="0" applyAlignment="0" applyProtection="0"/>
    <xf numFmtId="0" fontId="6" fillId="10" borderId="22" applyNumberFormat="0" applyFont="0" applyAlignment="0" applyProtection="0"/>
    <xf numFmtId="9" fontId="5" fillId="0" borderId="0" applyFont="0" applyFill="0" applyBorder="0" applyAlignment="0" applyProtection="0"/>
    <xf numFmtId="0" fontId="19" fillId="0" borderId="20" applyNumberFormat="0" applyFill="0" applyAlignment="0" applyProtection="0"/>
    <xf numFmtId="0" fontId="2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4" borderId="0" applyNumberFormat="0" applyBorder="0" applyAlignment="0" applyProtection="0"/>
  </cellStyleXfs>
  <cellXfs count="52">
    <xf numFmtId="0" fontId="0" fillId="0" borderId="0" xfId="0"/>
    <xf numFmtId="2" fontId="9" fillId="35" borderId="5" xfId="0" applyNumberFormat="1" applyFont="1" applyFill="1" applyBorder="1"/>
    <xf numFmtId="1" fontId="9" fillId="35" borderId="1" xfId="0" applyNumberFormat="1" applyFont="1" applyFill="1" applyBorder="1" applyAlignment="1">
      <alignment horizontal="center"/>
    </xf>
    <xf numFmtId="2" fontId="0" fillId="0" borderId="0" xfId="0" applyNumberFormat="1"/>
    <xf numFmtId="2" fontId="0" fillId="0" borderId="2" xfId="0" applyNumberFormat="1" applyBorder="1"/>
    <xf numFmtId="166" fontId="0" fillId="0" borderId="2" xfId="0" applyNumberFormat="1" applyBorder="1" applyAlignment="1">
      <alignment horizontal="center"/>
    </xf>
    <xf numFmtId="2" fontId="0" fillId="0" borderId="3" xfId="0" applyNumberFormat="1" applyBorder="1"/>
    <xf numFmtId="165" fontId="0" fillId="0" borderId="3" xfId="0" applyNumberFormat="1" applyBorder="1" applyAlignment="1">
      <alignment horizontal="center"/>
    </xf>
    <xf numFmtId="2" fontId="0" fillId="0" borderId="4" xfId="0" applyNumberFormat="1" applyBorder="1"/>
    <xf numFmtId="165" fontId="0" fillId="0" borderId="4" xfId="0" applyNumberFormat="1" applyBorder="1" applyAlignment="1">
      <alignment horizontal="center"/>
    </xf>
    <xf numFmtId="1" fontId="8" fillId="0" borderId="7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2" fontId="9" fillId="0" borderId="1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2" fontId="0" fillId="2" borderId="7" xfId="0" applyNumberFormat="1" applyFill="1" applyBorder="1"/>
    <xf numFmtId="2" fontId="6" fillId="2" borderId="13" xfId="0" applyNumberFormat="1" applyFont="1" applyFill="1" applyBorder="1" applyAlignment="1">
      <alignment horizontal="center" vertical="center"/>
    </xf>
    <xf numFmtId="3" fontId="26" fillId="36" borderId="1" xfId="0" applyNumberFormat="1" applyFont="1" applyFill="1" applyBorder="1" applyAlignment="1">
      <alignment horizontal="center" vertical="center"/>
    </xf>
    <xf numFmtId="3" fontId="26" fillId="37" borderId="1" xfId="0" applyNumberFormat="1" applyFont="1" applyFill="1" applyBorder="1" applyAlignment="1">
      <alignment horizontal="center" vertical="center"/>
    </xf>
    <xf numFmtId="3" fontId="26" fillId="38" borderId="1" xfId="0" applyNumberFormat="1" applyFont="1" applyFill="1" applyBorder="1" applyAlignment="1">
      <alignment horizontal="center" vertical="center"/>
    </xf>
    <xf numFmtId="3" fontId="26" fillId="39" borderId="1" xfId="0" applyNumberFormat="1" applyFont="1" applyFill="1" applyBorder="1" applyAlignment="1">
      <alignment horizontal="center" vertical="center"/>
    </xf>
    <xf numFmtId="3" fontId="26" fillId="40" borderId="1" xfId="0" applyNumberFormat="1" applyFont="1" applyFill="1" applyBorder="1" applyAlignment="1">
      <alignment horizontal="center" vertical="center"/>
    </xf>
    <xf numFmtId="3" fontId="26" fillId="41" borderId="1" xfId="0" applyNumberFormat="1" applyFont="1" applyFill="1" applyBorder="1" applyAlignment="1">
      <alignment horizontal="center" vertical="center"/>
    </xf>
    <xf numFmtId="3" fontId="26" fillId="42" borderId="1" xfId="0" applyNumberFormat="1" applyFont="1" applyFill="1" applyBorder="1" applyAlignment="1">
      <alignment horizontal="center" vertical="center"/>
    </xf>
    <xf numFmtId="3" fontId="26" fillId="43" borderId="1" xfId="0" applyNumberFormat="1" applyFont="1" applyFill="1" applyBorder="1" applyAlignment="1">
      <alignment horizontal="center" vertical="center"/>
    </xf>
    <xf numFmtId="3" fontId="26" fillId="44" borderId="1" xfId="0" applyNumberFormat="1" applyFont="1" applyFill="1" applyBorder="1" applyAlignment="1">
      <alignment horizontal="center" vertical="center"/>
    </xf>
    <xf numFmtId="3" fontId="26" fillId="45" borderId="1" xfId="0" applyNumberFormat="1" applyFont="1" applyFill="1" applyBorder="1" applyAlignment="1">
      <alignment horizontal="center" vertical="center"/>
    </xf>
    <xf numFmtId="3" fontId="26" fillId="46" borderId="1" xfId="0" applyNumberFormat="1" applyFont="1" applyFill="1" applyBorder="1" applyAlignment="1">
      <alignment horizontal="center" vertical="center"/>
    </xf>
    <xf numFmtId="3" fontId="26" fillId="47" borderId="1" xfId="0" applyNumberFormat="1" applyFont="1" applyFill="1" applyBorder="1" applyAlignment="1">
      <alignment horizontal="center" vertical="center"/>
    </xf>
    <xf numFmtId="3" fontId="26" fillId="48" borderId="1" xfId="0" applyNumberFormat="1" applyFont="1" applyFill="1" applyBorder="1" applyAlignment="1">
      <alignment horizontal="center" vertical="center"/>
    </xf>
    <xf numFmtId="3" fontId="26" fillId="49" borderId="1" xfId="0" applyNumberFormat="1" applyFont="1" applyFill="1" applyBorder="1" applyAlignment="1">
      <alignment horizontal="center" vertical="center"/>
    </xf>
    <xf numFmtId="3" fontId="26" fillId="50" borderId="1" xfId="0" applyNumberFormat="1" applyFont="1" applyFill="1" applyBorder="1" applyAlignment="1">
      <alignment horizontal="center" vertical="center"/>
    </xf>
    <xf numFmtId="3" fontId="26" fillId="52" borderId="1" xfId="0" applyNumberFormat="1" applyFont="1" applyFill="1" applyBorder="1" applyAlignment="1">
      <alignment horizontal="center" vertical="center"/>
    </xf>
    <xf numFmtId="3" fontId="26" fillId="53" borderId="1" xfId="0" applyNumberFormat="1" applyFont="1" applyFill="1" applyBorder="1" applyAlignment="1">
      <alignment horizontal="center" vertical="center"/>
    </xf>
    <xf numFmtId="3" fontId="26" fillId="54" borderId="1" xfId="0" applyNumberFormat="1" applyFont="1" applyFill="1" applyBorder="1" applyAlignment="1">
      <alignment horizontal="center" vertical="center"/>
    </xf>
    <xf numFmtId="3" fontId="26" fillId="55" borderId="1" xfId="0" applyNumberFormat="1" applyFont="1" applyFill="1" applyBorder="1" applyAlignment="1">
      <alignment horizontal="center" vertical="center"/>
    </xf>
    <xf numFmtId="3" fontId="27" fillId="5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24" fillId="3" borderId="5" xfId="0" applyNumberFormat="1" applyFont="1" applyFill="1" applyBorder="1" applyAlignment="1">
      <alignment horizontal="center" vertical="center"/>
    </xf>
    <xf numFmtId="2" fontId="24" fillId="3" borderId="11" xfId="0" applyNumberFormat="1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2" fontId="9" fillId="35" borderId="6" xfId="0" applyNumberFormat="1" applyFont="1" applyFill="1" applyBorder="1" applyAlignment="1">
      <alignment horizontal="center"/>
    </xf>
    <xf numFmtId="2" fontId="9" fillId="35" borderId="10" xfId="0" applyNumberFormat="1" applyFont="1" applyFill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2" fontId="9" fillId="0" borderId="24" xfId="0" applyNumberFormat="1" applyFont="1" applyBorder="1"/>
    <xf numFmtId="3" fontId="0" fillId="0" borderId="24" xfId="0" applyNumberFormat="1" applyBorder="1" applyAlignment="1">
      <alignment horizontal="center"/>
    </xf>
    <xf numFmtId="2" fontId="9" fillId="56" borderId="5" xfId="0" applyNumberFormat="1" applyFont="1" applyFill="1" applyBorder="1"/>
    <xf numFmtId="2" fontId="9" fillId="57" borderId="1" xfId="0" applyNumberFormat="1" applyFont="1" applyFill="1" applyBorder="1"/>
    <xf numFmtId="2" fontId="0" fillId="0" borderId="25" xfId="0" applyNumberFormat="1" applyBorder="1"/>
    <xf numFmtId="3" fontId="0" fillId="0" borderId="25" xfId="0" applyNumberFormat="1" applyBorder="1" applyAlignment="1">
      <alignment horizontal="center"/>
    </xf>
  </cellXfs>
  <cellStyles count="356">
    <cellStyle name="20% - Акцент1 2" xfId="14" xr:uid="{00000000-0005-0000-0000-000000000000}"/>
    <cellStyle name="20% - Акцент2 2" xfId="15" xr:uid="{00000000-0005-0000-0000-000001000000}"/>
    <cellStyle name="20% - Акцент3 2" xfId="16" xr:uid="{00000000-0005-0000-0000-000002000000}"/>
    <cellStyle name="20% - Акцент4 2" xfId="17" xr:uid="{00000000-0005-0000-0000-000003000000}"/>
    <cellStyle name="20% - Акцент5 2" xfId="18" xr:uid="{00000000-0005-0000-0000-000004000000}"/>
    <cellStyle name="20% - Акцент6 2" xfId="19" xr:uid="{00000000-0005-0000-0000-000005000000}"/>
    <cellStyle name="40% - Акцент1 2" xfId="20" xr:uid="{00000000-0005-0000-0000-000006000000}"/>
    <cellStyle name="40% - Акцент2 2" xfId="21" xr:uid="{00000000-0005-0000-0000-000007000000}"/>
    <cellStyle name="40% - Акцент3 2" xfId="22" xr:uid="{00000000-0005-0000-0000-000008000000}"/>
    <cellStyle name="40% - Акцент4 2" xfId="23" xr:uid="{00000000-0005-0000-0000-000009000000}"/>
    <cellStyle name="40% - Акцент5 2" xfId="24" xr:uid="{00000000-0005-0000-0000-00000A000000}"/>
    <cellStyle name="40% - Акцент6 2" xfId="25" xr:uid="{00000000-0005-0000-0000-00000B000000}"/>
    <cellStyle name="60% - Акцент1 2" xfId="26" xr:uid="{00000000-0005-0000-0000-00000C000000}"/>
    <cellStyle name="60% - Акцент2 2" xfId="27" xr:uid="{00000000-0005-0000-0000-00000D000000}"/>
    <cellStyle name="60% - Акцент3 2" xfId="28" xr:uid="{00000000-0005-0000-0000-00000E000000}"/>
    <cellStyle name="60% - Акцент4 2" xfId="29" xr:uid="{00000000-0005-0000-0000-00000F000000}"/>
    <cellStyle name="60% - Акцент5 2" xfId="30" xr:uid="{00000000-0005-0000-0000-000010000000}"/>
    <cellStyle name="60% - Акцент6 2" xfId="31" xr:uid="{00000000-0005-0000-0000-000011000000}"/>
    <cellStyle name="Normal_AKISKAN" xfId="1" xr:uid="{00000000-0005-0000-0000-000012000000}"/>
    <cellStyle name="Акцент1 2" xfId="32" xr:uid="{00000000-0005-0000-0000-000013000000}"/>
    <cellStyle name="Акцент2 2" xfId="33" xr:uid="{00000000-0005-0000-0000-000014000000}"/>
    <cellStyle name="Акцент3 2" xfId="34" xr:uid="{00000000-0005-0000-0000-000015000000}"/>
    <cellStyle name="Акцент4 2" xfId="13" xr:uid="{00000000-0005-0000-0000-000016000000}"/>
    <cellStyle name="Акцент5 2" xfId="35" xr:uid="{00000000-0005-0000-0000-000017000000}"/>
    <cellStyle name="Акцент6 2" xfId="36" xr:uid="{00000000-0005-0000-0000-000018000000}"/>
    <cellStyle name="Ввод  2" xfId="37" xr:uid="{00000000-0005-0000-0000-000019000000}"/>
    <cellStyle name="Вывод 2" xfId="38" xr:uid="{00000000-0005-0000-0000-00001A000000}"/>
    <cellStyle name="Вычисление 2" xfId="39" xr:uid="{00000000-0005-0000-0000-00001B000000}"/>
    <cellStyle name="Заголовок 1 2" xfId="40" xr:uid="{00000000-0005-0000-0000-00001C000000}"/>
    <cellStyle name="Заголовок 2 2" xfId="41" xr:uid="{00000000-0005-0000-0000-00001D000000}"/>
    <cellStyle name="Заголовок 3 2" xfId="42" xr:uid="{00000000-0005-0000-0000-00001E000000}"/>
    <cellStyle name="Заголовок 4 2" xfId="43" xr:uid="{00000000-0005-0000-0000-00001F000000}"/>
    <cellStyle name="Итог 2" xfId="44" xr:uid="{00000000-0005-0000-0000-000020000000}"/>
    <cellStyle name="Контрольная ячейка 2" xfId="45" xr:uid="{00000000-0005-0000-0000-000021000000}"/>
    <cellStyle name="Нейтральный 2" xfId="46" xr:uid="{00000000-0005-0000-0000-000022000000}"/>
    <cellStyle name="Обычный" xfId="0" builtinId="0"/>
    <cellStyle name="Обычный 10" xfId="47" xr:uid="{00000000-0005-0000-0000-000024000000}"/>
    <cellStyle name="Обычный 11" xfId="48" xr:uid="{00000000-0005-0000-0000-000025000000}"/>
    <cellStyle name="Обычный 11 2" xfId="49" xr:uid="{00000000-0005-0000-0000-000026000000}"/>
    <cellStyle name="Обычный 11 3" xfId="50" xr:uid="{00000000-0005-0000-0000-000027000000}"/>
    <cellStyle name="Обычный 12" xfId="51" xr:uid="{00000000-0005-0000-0000-000028000000}"/>
    <cellStyle name="Обычный 12 2" xfId="52" xr:uid="{00000000-0005-0000-0000-000029000000}"/>
    <cellStyle name="Обычный 12 3" xfId="53" xr:uid="{00000000-0005-0000-0000-00002A000000}"/>
    <cellStyle name="Обычный 13" xfId="54" xr:uid="{00000000-0005-0000-0000-00002B000000}"/>
    <cellStyle name="Обычный 13 2" xfId="55" xr:uid="{00000000-0005-0000-0000-00002C000000}"/>
    <cellStyle name="Обычный 13 3" xfId="56" xr:uid="{00000000-0005-0000-0000-00002D000000}"/>
    <cellStyle name="Обычный 14" xfId="57" xr:uid="{00000000-0005-0000-0000-00002E000000}"/>
    <cellStyle name="Обычный 14 2" xfId="58" xr:uid="{00000000-0005-0000-0000-00002F000000}"/>
    <cellStyle name="Обычный 14 3" xfId="59" xr:uid="{00000000-0005-0000-0000-000030000000}"/>
    <cellStyle name="Обычный 15" xfId="60" xr:uid="{00000000-0005-0000-0000-000031000000}"/>
    <cellStyle name="Обычный 15 2" xfId="61" xr:uid="{00000000-0005-0000-0000-000032000000}"/>
    <cellStyle name="Обычный 15 3" xfId="62" xr:uid="{00000000-0005-0000-0000-000033000000}"/>
    <cellStyle name="Обычный 16" xfId="63" xr:uid="{00000000-0005-0000-0000-000034000000}"/>
    <cellStyle name="Обычный 16 2" xfId="64" xr:uid="{00000000-0005-0000-0000-000035000000}"/>
    <cellStyle name="Обычный 16 3" xfId="65" xr:uid="{00000000-0005-0000-0000-000036000000}"/>
    <cellStyle name="Обычный 17" xfId="66" xr:uid="{00000000-0005-0000-0000-000037000000}"/>
    <cellStyle name="Обычный 17 2" xfId="67" xr:uid="{00000000-0005-0000-0000-000038000000}"/>
    <cellStyle name="Обычный 17 3" xfId="68" xr:uid="{00000000-0005-0000-0000-000039000000}"/>
    <cellStyle name="Обычный 18" xfId="69" xr:uid="{00000000-0005-0000-0000-00003A000000}"/>
    <cellStyle name="Обычный 18 2" xfId="70" xr:uid="{00000000-0005-0000-0000-00003B000000}"/>
    <cellStyle name="Обычный 18 3" xfId="71" xr:uid="{00000000-0005-0000-0000-00003C000000}"/>
    <cellStyle name="Обычный 19" xfId="72" xr:uid="{00000000-0005-0000-0000-00003D000000}"/>
    <cellStyle name="Обычный 19 2" xfId="73" xr:uid="{00000000-0005-0000-0000-00003E000000}"/>
    <cellStyle name="Обычный 19 3" xfId="74" xr:uid="{00000000-0005-0000-0000-00003F000000}"/>
    <cellStyle name="Обычный 2" xfId="2" xr:uid="{00000000-0005-0000-0000-000040000000}"/>
    <cellStyle name="Обычный 2 2" xfId="3" xr:uid="{00000000-0005-0000-0000-000041000000}"/>
    <cellStyle name="Обычный 2 3" xfId="4" xr:uid="{00000000-0005-0000-0000-000042000000}"/>
    <cellStyle name="Обычный 2 4" xfId="75" xr:uid="{00000000-0005-0000-0000-000043000000}"/>
    <cellStyle name="Обычный 2 5" xfId="76" xr:uid="{00000000-0005-0000-0000-000044000000}"/>
    <cellStyle name="Обычный 20" xfId="77" xr:uid="{00000000-0005-0000-0000-000045000000}"/>
    <cellStyle name="Обычный 20 2" xfId="78" xr:uid="{00000000-0005-0000-0000-000046000000}"/>
    <cellStyle name="Обычный 20 3" xfId="79" xr:uid="{00000000-0005-0000-0000-000047000000}"/>
    <cellStyle name="Обычный 21" xfId="80" xr:uid="{00000000-0005-0000-0000-000048000000}"/>
    <cellStyle name="Обычный 21 2" xfId="81" xr:uid="{00000000-0005-0000-0000-000049000000}"/>
    <cellStyle name="Обычный 21 3" xfId="82" xr:uid="{00000000-0005-0000-0000-00004A000000}"/>
    <cellStyle name="Обычный 22" xfId="83" xr:uid="{00000000-0005-0000-0000-00004B000000}"/>
    <cellStyle name="Обычный 22 2" xfId="84" xr:uid="{00000000-0005-0000-0000-00004C000000}"/>
    <cellStyle name="Обычный 22 3" xfId="85" xr:uid="{00000000-0005-0000-0000-00004D000000}"/>
    <cellStyle name="Обычный 23" xfId="86" xr:uid="{00000000-0005-0000-0000-00004E000000}"/>
    <cellStyle name="Обычный 23 2" xfId="87" xr:uid="{00000000-0005-0000-0000-00004F000000}"/>
    <cellStyle name="Обычный 23 3" xfId="88" xr:uid="{00000000-0005-0000-0000-000050000000}"/>
    <cellStyle name="Обычный 24" xfId="89" xr:uid="{00000000-0005-0000-0000-000051000000}"/>
    <cellStyle name="Обычный 24 2" xfId="90" xr:uid="{00000000-0005-0000-0000-000052000000}"/>
    <cellStyle name="Обычный 24 3" xfId="91" xr:uid="{00000000-0005-0000-0000-000053000000}"/>
    <cellStyle name="Обычный 25" xfId="92" xr:uid="{00000000-0005-0000-0000-000054000000}"/>
    <cellStyle name="Обычный 25 2" xfId="93" xr:uid="{00000000-0005-0000-0000-000055000000}"/>
    <cellStyle name="Обычный 25 3" xfId="94" xr:uid="{00000000-0005-0000-0000-000056000000}"/>
    <cellStyle name="Обычный 26" xfId="95" xr:uid="{00000000-0005-0000-0000-000057000000}"/>
    <cellStyle name="Обычный 26 2" xfId="96" xr:uid="{00000000-0005-0000-0000-000058000000}"/>
    <cellStyle name="Обычный 26 3" xfId="97" xr:uid="{00000000-0005-0000-0000-000059000000}"/>
    <cellStyle name="Обычный 27" xfId="98" xr:uid="{00000000-0005-0000-0000-00005A000000}"/>
    <cellStyle name="Обычный 27 2" xfId="99" xr:uid="{00000000-0005-0000-0000-00005B000000}"/>
    <cellStyle name="Обычный 27 3" xfId="100" xr:uid="{00000000-0005-0000-0000-00005C000000}"/>
    <cellStyle name="Обычный 28" xfId="101" xr:uid="{00000000-0005-0000-0000-00005D000000}"/>
    <cellStyle name="Обычный 28 2" xfId="102" xr:uid="{00000000-0005-0000-0000-00005E000000}"/>
    <cellStyle name="Обычный 28 3" xfId="103" xr:uid="{00000000-0005-0000-0000-00005F000000}"/>
    <cellStyle name="Обычный 29" xfId="104" xr:uid="{00000000-0005-0000-0000-000060000000}"/>
    <cellStyle name="Обычный 29 2" xfId="105" xr:uid="{00000000-0005-0000-0000-000061000000}"/>
    <cellStyle name="Обычный 29 3" xfId="106" xr:uid="{00000000-0005-0000-0000-000062000000}"/>
    <cellStyle name="Обычный 3" xfId="5" xr:uid="{00000000-0005-0000-0000-000063000000}"/>
    <cellStyle name="Обычный 3 10" xfId="107" xr:uid="{00000000-0005-0000-0000-000064000000}"/>
    <cellStyle name="Обычный 3 11" xfId="108" xr:uid="{00000000-0005-0000-0000-000065000000}"/>
    <cellStyle name="Обычный 3 12" xfId="109" xr:uid="{00000000-0005-0000-0000-000066000000}"/>
    <cellStyle name="Обычный 3 13" xfId="110" xr:uid="{00000000-0005-0000-0000-000067000000}"/>
    <cellStyle name="Обычный 3 14" xfId="111" xr:uid="{00000000-0005-0000-0000-000068000000}"/>
    <cellStyle name="Обычный 3 15" xfId="112" xr:uid="{00000000-0005-0000-0000-000069000000}"/>
    <cellStyle name="Обычный 3 16" xfId="113" xr:uid="{00000000-0005-0000-0000-00006A000000}"/>
    <cellStyle name="Обычный 3 17" xfId="114" xr:uid="{00000000-0005-0000-0000-00006B000000}"/>
    <cellStyle name="Обычный 3 18" xfId="115" xr:uid="{00000000-0005-0000-0000-00006C000000}"/>
    <cellStyle name="Обычный 3 19" xfId="116" xr:uid="{00000000-0005-0000-0000-00006D000000}"/>
    <cellStyle name="Обычный 3 2" xfId="6" xr:uid="{00000000-0005-0000-0000-00006E000000}"/>
    <cellStyle name="Обычный 3 20" xfId="117" xr:uid="{00000000-0005-0000-0000-00006F000000}"/>
    <cellStyle name="Обычный 3 21" xfId="118" xr:uid="{00000000-0005-0000-0000-000070000000}"/>
    <cellStyle name="Обычный 3 22" xfId="119" xr:uid="{00000000-0005-0000-0000-000071000000}"/>
    <cellStyle name="Обычный 3 23" xfId="120" xr:uid="{00000000-0005-0000-0000-000072000000}"/>
    <cellStyle name="Обычный 3 24" xfId="121" xr:uid="{00000000-0005-0000-0000-000073000000}"/>
    <cellStyle name="Обычный 3 25" xfId="122" xr:uid="{00000000-0005-0000-0000-000074000000}"/>
    <cellStyle name="Обычный 3 26" xfId="123" xr:uid="{00000000-0005-0000-0000-000075000000}"/>
    <cellStyle name="Обычный 3 27" xfId="124" xr:uid="{00000000-0005-0000-0000-000076000000}"/>
    <cellStyle name="Обычный 3 28" xfId="125" xr:uid="{00000000-0005-0000-0000-000077000000}"/>
    <cellStyle name="Обычный 3 29" xfId="126" xr:uid="{00000000-0005-0000-0000-000078000000}"/>
    <cellStyle name="Обычный 3 3" xfId="7" xr:uid="{00000000-0005-0000-0000-000079000000}"/>
    <cellStyle name="Обычный 3 3 2" xfId="127" xr:uid="{00000000-0005-0000-0000-00007A000000}"/>
    <cellStyle name="Обычный 3 30" xfId="128" xr:uid="{00000000-0005-0000-0000-00007B000000}"/>
    <cellStyle name="Обычный 3 31" xfId="129" xr:uid="{00000000-0005-0000-0000-00007C000000}"/>
    <cellStyle name="Обычный 3 4" xfId="8" xr:uid="{00000000-0005-0000-0000-00007D000000}"/>
    <cellStyle name="Обычный 3 5" xfId="130" xr:uid="{00000000-0005-0000-0000-00007E000000}"/>
    <cellStyle name="Обычный 3 6" xfId="131" xr:uid="{00000000-0005-0000-0000-00007F000000}"/>
    <cellStyle name="Обычный 3 7" xfId="132" xr:uid="{00000000-0005-0000-0000-000080000000}"/>
    <cellStyle name="Обычный 3 8" xfId="133" xr:uid="{00000000-0005-0000-0000-000081000000}"/>
    <cellStyle name="Обычный 3 9" xfId="134" xr:uid="{00000000-0005-0000-0000-000082000000}"/>
    <cellStyle name="Обычный 30" xfId="135" xr:uid="{00000000-0005-0000-0000-000083000000}"/>
    <cellStyle name="Обычный 30 2" xfId="136" xr:uid="{00000000-0005-0000-0000-000084000000}"/>
    <cellStyle name="Обычный 30 3" xfId="137" xr:uid="{00000000-0005-0000-0000-000085000000}"/>
    <cellStyle name="Обычный 31" xfId="138" xr:uid="{00000000-0005-0000-0000-000086000000}"/>
    <cellStyle name="Обычный 31 2" xfId="139" xr:uid="{00000000-0005-0000-0000-000087000000}"/>
    <cellStyle name="Обычный 31 3" xfId="140" xr:uid="{00000000-0005-0000-0000-000088000000}"/>
    <cellStyle name="Обычный 32" xfId="141" xr:uid="{00000000-0005-0000-0000-000089000000}"/>
    <cellStyle name="Обычный 32 2" xfId="142" xr:uid="{00000000-0005-0000-0000-00008A000000}"/>
    <cellStyle name="Обычный 32 3" xfId="143" xr:uid="{00000000-0005-0000-0000-00008B000000}"/>
    <cellStyle name="Обычный 33" xfId="144" xr:uid="{00000000-0005-0000-0000-00008C000000}"/>
    <cellStyle name="Обычный 33 2" xfId="145" xr:uid="{00000000-0005-0000-0000-00008D000000}"/>
    <cellStyle name="Обычный 33 3" xfId="146" xr:uid="{00000000-0005-0000-0000-00008E000000}"/>
    <cellStyle name="Обычный 34" xfId="147" xr:uid="{00000000-0005-0000-0000-00008F000000}"/>
    <cellStyle name="Обычный 34 2" xfId="148" xr:uid="{00000000-0005-0000-0000-000090000000}"/>
    <cellStyle name="Обычный 34 3" xfId="149" xr:uid="{00000000-0005-0000-0000-000091000000}"/>
    <cellStyle name="Обычный 35" xfId="150" xr:uid="{00000000-0005-0000-0000-000092000000}"/>
    <cellStyle name="Обычный 35 2" xfId="151" xr:uid="{00000000-0005-0000-0000-000093000000}"/>
    <cellStyle name="Обычный 35 3" xfId="152" xr:uid="{00000000-0005-0000-0000-000094000000}"/>
    <cellStyle name="Обычный 36" xfId="153" xr:uid="{00000000-0005-0000-0000-000095000000}"/>
    <cellStyle name="Обычный 36 2" xfId="154" xr:uid="{00000000-0005-0000-0000-000096000000}"/>
    <cellStyle name="Обычный 36 3" xfId="155" xr:uid="{00000000-0005-0000-0000-000097000000}"/>
    <cellStyle name="Обычный 37" xfId="156" xr:uid="{00000000-0005-0000-0000-000098000000}"/>
    <cellStyle name="Обычный 37 2" xfId="157" xr:uid="{00000000-0005-0000-0000-000099000000}"/>
    <cellStyle name="Обычный 37 3" xfId="158" xr:uid="{00000000-0005-0000-0000-00009A000000}"/>
    <cellStyle name="Обычный 38" xfId="159" xr:uid="{00000000-0005-0000-0000-00009B000000}"/>
    <cellStyle name="Обычный 38 2" xfId="160" xr:uid="{00000000-0005-0000-0000-00009C000000}"/>
    <cellStyle name="Обычный 38 3" xfId="161" xr:uid="{00000000-0005-0000-0000-00009D000000}"/>
    <cellStyle name="Обычный 39" xfId="162" xr:uid="{00000000-0005-0000-0000-00009E000000}"/>
    <cellStyle name="Обычный 39 2" xfId="163" xr:uid="{00000000-0005-0000-0000-00009F000000}"/>
    <cellStyle name="Обычный 39 3" xfId="164" xr:uid="{00000000-0005-0000-0000-0000A0000000}"/>
    <cellStyle name="Обычный 4" xfId="9" xr:uid="{00000000-0005-0000-0000-0000A1000000}"/>
    <cellStyle name="Обычный 4 10" xfId="165" xr:uid="{00000000-0005-0000-0000-0000A2000000}"/>
    <cellStyle name="Обычный 4 11" xfId="166" xr:uid="{00000000-0005-0000-0000-0000A3000000}"/>
    <cellStyle name="Обычный 4 12" xfId="167" xr:uid="{00000000-0005-0000-0000-0000A4000000}"/>
    <cellStyle name="Обычный 4 13" xfId="168" xr:uid="{00000000-0005-0000-0000-0000A5000000}"/>
    <cellStyle name="Обычный 4 14" xfId="169" xr:uid="{00000000-0005-0000-0000-0000A6000000}"/>
    <cellStyle name="Обычный 4 15" xfId="170" xr:uid="{00000000-0005-0000-0000-0000A7000000}"/>
    <cellStyle name="Обычный 4 16" xfId="171" xr:uid="{00000000-0005-0000-0000-0000A8000000}"/>
    <cellStyle name="Обычный 4 17" xfId="172" xr:uid="{00000000-0005-0000-0000-0000A9000000}"/>
    <cellStyle name="Обычный 4 18" xfId="173" xr:uid="{00000000-0005-0000-0000-0000AA000000}"/>
    <cellStyle name="Обычный 4 19" xfId="174" xr:uid="{00000000-0005-0000-0000-0000AB000000}"/>
    <cellStyle name="Обычный 4 2" xfId="10" xr:uid="{00000000-0005-0000-0000-0000AC000000}"/>
    <cellStyle name="Обычный 4 2 2" xfId="175" xr:uid="{00000000-0005-0000-0000-0000AD000000}"/>
    <cellStyle name="Обычный 4 20" xfId="176" xr:uid="{00000000-0005-0000-0000-0000AE000000}"/>
    <cellStyle name="Обычный 4 21" xfId="177" xr:uid="{00000000-0005-0000-0000-0000AF000000}"/>
    <cellStyle name="Обычный 4 22" xfId="178" xr:uid="{00000000-0005-0000-0000-0000B0000000}"/>
    <cellStyle name="Обычный 4 23" xfId="179" xr:uid="{00000000-0005-0000-0000-0000B1000000}"/>
    <cellStyle name="Обычный 4 24" xfId="180" xr:uid="{00000000-0005-0000-0000-0000B2000000}"/>
    <cellStyle name="Обычный 4 25" xfId="181" xr:uid="{00000000-0005-0000-0000-0000B3000000}"/>
    <cellStyle name="Обычный 4 26" xfId="182" xr:uid="{00000000-0005-0000-0000-0000B4000000}"/>
    <cellStyle name="Обычный 4 27" xfId="183" xr:uid="{00000000-0005-0000-0000-0000B5000000}"/>
    <cellStyle name="Обычный 4 28" xfId="184" xr:uid="{00000000-0005-0000-0000-0000B6000000}"/>
    <cellStyle name="Обычный 4 29" xfId="185" xr:uid="{00000000-0005-0000-0000-0000B7000000}"/>
    <cellStyle name="Обычный 4 3" xfId="186" xr:uid="{00000000-0005-0000-0000-0000B8000000}"/>
    <cellStyle name="Обычный 4 30" xfId="187" xr:uid="{00000000-0005-0000-0000-0000B9000000}"/>
    <cellStyle name="Обычный 4 31" xfId="188" xr:uid="{00000000-0005-0000-0000-0000BA000000}"/>
    <cellStyle name="Обычный 4 4" xfId="189" xr:uid="{00000000-0005-0000-0000-0000BB000000}"/>
    <cellStyle name="Обычный 4 5" xfId="190" xr:uid="{00000000-0005-0000-0000-0000BC000000}"/>
    <cellStyle name="Обычный 4 6" xfId="191" xr:uid="{00000000-0005-0000-0000-0000BD000000}"/>
    <cellStyle name="Обычный 4 7" xfId="192" xr:uid="{00000000-0005-0000-0000-0000BE000000}"/>
    <cellStyle name="Обычный 4 8" xfId="193" xr:uid="{00000000-0005-0000-0000-0000BF000000}"/>
    <cellStyle name="Обычный 4 9" xfId="194" xr:uid="{00000000-0005-0000-0000-0000C0000000}"/>
    <cellStyle name="Обычный 40" xfId="195" xr:uid="{00000000-0005-0000-0000-0000C1000000}"/>
    <cellStyle name="Обычный 40 2" xfId="196" xr:uid="{00000000-0005-0000-0000-0000C2000000}"/>
    <cellStyle name="Обычный 40 3" xfId="197" xr:uid="{00000000-0005-0000-0000-0000C3000000}"/>
    <cellStyle name="Обычный 41" xfId="198" xr:uid="{00000000-0005-0000-0000-0000C4000000}"/>
    <cellStyle name="Обычный 41 2" xfId="199" xr:uid="{00000000-0005-0000-0000-0000C5000000}"/>
    <cellStyle name="Обычный 41 3" xfId="200" xr:uid="{00000000-0005-0000-0000-0000C6000000}"/>
    <cellStyle name="Обычный 42" xfId="201" xr:uid="{00000000-0005-0000-0000-0000C7000000}"/>
    <cellStyle name="Обычный 42 2" xfId="202" xr:uid="{00000000-0005-0000-0000-0000C8000000}"/>
    <cellStyle name="Обычный 42 3" xfId="203" xr:uid="{00000000-0005-0000-0000-0000C9000000}"/>
    <cellStyle name="Обычный 43" xfId="204" xr:uid="{00000000-0005-0000-0000-0000CA000000}"/>
    <cellStyle name="Обычный 43 2" xfId="205" xr:uid="{00000000-0005-0000-0000-0000CB000000}"/>
    <cellStyle name="Обычный 43 3" xfId="206" xr:uid="{00000000-0005-0000-0000-0000CC000000}"/>
    <cellStyle name="Обычный 44" xfId="207" xr:uid="{00000000-0005-0000-0000-0000CD000000}"/>
    <cellStyle name="Обычный 44 2" xfId="208" xr:uid="{00000000-0005-0000-0000-0000CE000000}"/>
    <cellStyle name="Обычный 44 3" xfId="209" xr:uid="{00000000-0005-0000-0000-0000CF000000}"/>
    <cellStyle name="Обычный 45" xfId="210" xr:uid="{00000000-0005-0000-0000-0000D0000000}"/>
    <cellStyle name="Обычный 45 2" xfId="211" xr:uid="{00000000-0005-0000-0000-0000D1000000}"/>
    <cellStyle name="Обычный 45 3" xfId="212" xr:uid="{00000000-0005-0000-0000-0000D2000000}"/>
    <cellStyle name="Обычный 46" xfId="213" xr:uid="{00000000-0005-0000-0000-0000D3000000}"/>
    <cellStyle name="Обычный 46 2" xfId="214" xr:uid="{00000000-0005-0000-0000-0000D4000000}"/>
    <cellStyle name="Обычный 46 3" xfId="215" xr:uid="{00000000-0005-0000-0000-0000D5000000}"/>
    <cellStyle name="Обычный 47" xfId="216" xr:uid="{00000000-0005-0000-0000-0000D6000000}"/>
    <cellStyle name="Обычный 47 2" xfId="217" xr:uid="{00000000-0005-0000-0000-0000D7000000}"/>
    <cellStyle name="Обычный 47 3" xfId="218" xr:uid="{00000000-0005-0000-0000-0000D8000000}"/>
    <cellStyle name="Обычный 48" xfId="219" xr:uid="{00000000-0005-0000-0000-0000D9000000}"/>
    <cellStyle name="Обычный 48 2" xfId="220" xr:uid="{00000000-0005-0000-0000-0000DA000000}"/>
    <cellStyle name="Обычный 48 3" xfId="221" xr:uid="{00000000-0005-0000-0000-0000DB000000}"/>
    <cellStyle name="Обычный 49" xfId="222" xr:uid="{00000000-0005-0000-0000-0000DC000000}"/>
    <cellStyle name="Обычный 49 2" xfId="223" xr:uid="{00000000-0005-0000-0000-0000DD000000}"/>
    <cellStyle name="Обычный 49 3" xfId="224" xr:uid="{00000000-0005-0000-0000-0000DE000000}"/>
    <cellStyle name="Обычный 5" xfId="11" xr:uid="{00000000-0005-0000-0000-0000DF000000}"/>
    <cellStyle name="Обычный 50" xfId="225" xr:uid="{00000000-0005-0000-0000-0000E0000000}"/>
    <cellStyle name="Обычный 50 2" xfId="226" xr:uid="{00000000-0005-0000-0000-0000E1000000}"/>
    <cellStyle name="Обычный 50 3" xfId="227" xr:uid="{00000000-0005-0000-0000-0000E2000000}"/>
    <cellStyle name="Обычный 51" xfId="228" xr:uid="{00000000-0005-0000-0000-0000E3000000}"/>
    <cellStyle name="Обычный 51 2" xfId="229" xr:uid="{00000000-0005-0000-0000-0000E4000000}"/>
    <cellStyle name="Обычный 51 3" xfId="230" xr:uid="{00000000-0005-0000-0000-0000E5000000}"/>
    <cellStyle name="Обычный 52" xfId="231" xr:uid="{00000000-0005-0000-0000-0000E6000000}"/>
    <cellStyle name="Обычный 52 2" xfId="232" xr:uid="{00000000-0005-0000-0000-0000E7000000}"/>
    <cellStyle name="Обычный 52 3" xfId="233" xr:uid="{00000000-0005-0000-0000-0000E8000000}"/>
    <cellStyle name="Обычный 53" xfId="234" xr:uid="{00000000-0005-0000-0000-0000E9000000}"/>
    <cellStyle name="Обычный 53 2" xfId="235" xr:uid="{00000000-0005-0000-0000-0000EA000000}"/>
    <cellStyle name="Обычный 53 3" xfId="236" xr:uid="{00000000-0005-0000-0000-0000EB000000}"/>
    <cellStyle name="Обычный 54" xfId="237" xr:uid="{00000000-0005-0000-0000-0000EC000000}"/>
    <cellStyle name="Обычный 54 2" xfId="238" xr:uid="{00000000-0005-0000-0000-0000ED000000}"/>
    <cellStyle name="Обычный 54 3" xfId="239" xr:uid="{00000000-0005-0000-0000-0000EE000000}"/>
    <cellStyle name="Обычный 55" xfId="240" xr:uid="{00000000-0005-0000-0000-0000EF000000}"/>
    <cellStyle name="Обычный 55 2" xfId="241" xr:uid="{00000000-0005-0000-0000-0000F0000000}"/>
    <cellStyle name="Обычный 55 3" xfId="242" xr:uid="{00000000-0005-0000-0000-0000F1000000}"/>
    <cellStyle name="Обычный 56" xfId="243" xr:uid="{00000000-0005-0000-0000-0000F2000000}"/>
    <cellStyle name="Обычный 56 2" xfId="244" xr:uid="{00000000-0005-0000-0000-0000F3000000}"/>
    <cellStyle name="Обычный 56 3" xfId="245" xr:uid="{00000000-0005-0000-0000-0000F4000000}"/>
    <cellStyle name="Обычный 57" xfId="246" xr:uid="{00000000-0005-0000-0000-0000F5000000}"/>
    <cellStyle name="Обычный 57 2" xfId="247" xr:uid="{00000000-0005-0000-0000-0000F6000000}"/>
    <cellStyle name="Обычный 57 3" xfId="248" xr:uid="{00000000-0005-0000-0000-0000F7000000}"/>
    <cellStyle name="Обычный 58" xfId="249" xr:uid="{00000000-0005-0000-0000-0000F8000000}"/>
    <cellStyle name="Обычный 58 2" xfId="250" xr:uid="{00000000-0005-0000-0000-0000F9000000}"/>
    <cellStyle name="Обычный 58 3" xfId="251" xr:uid="{00000000-0005-0000-0000-0000FA000000}"/>
    <cellStyle name="Обычный 59" xfId="252" xr:uid="{00000000-0005-0000-0000-0000FB000000}"/>
    <cellStyle name="Обычный 59 2" xfId="253" xr:uid="{00000000-0005-0000-0000-0000FC000000}"/>
    <cellStyle name="Обычный 59 3" xfId="254" xr:uid="{00000000-0005-0000-0000-0000FD000000}"/>
    <cellStyle name="Обычный 6" xfId="255" xr:uid="{00000000-0005-0000-0000-0000FE000000}"/>
    <cellStyle name="Обычный 6 2" xfId="256" xr:uid="{00000000-0005-0000-0000-0000FF000000}"/>
    <cellStyle name="Обычный 6 3" xfId="257" xr:uid="{00000000-0005-0000-0000-000000010000}"/>
    <cellStyle name="Обычный 6 4" xfId="258" xr:uid="{00000000-0005-0000-0000-000001010000}"/>
    <cellStyle name="Обычный 60" xfId="259" xr:uid="{00000000-0005-0000-0000-000002010000}"/>
    <cellStyle name="Обычный 60 2" xfId="260" xr:uid="{00000000-0005-0000-0000-000003010000}"/>
    <cellStyle name="Обычный 60 3" xfId="261" xr:uid="{00000000-0005-0000-0000-000004010000}"/>
    <cellStyle name="Обычный 61" xfId="262" xr:uid="{00000000-0005-0000-0000-000005010000}"/>
    <cellStyle name="Обычный 61 2" xfId="263" xr:uid="{00000000-0005-0000-0000-000006010000}"/>
    <cellStyle name="Обычный 61 3" xfId="264" xr:uid="{00000000-0005-0000-0000-000007010000}"/>
    <cellStyle name="Обычный 62" xfId="265" xr:uid="{00000000-0005-0000-0000-000008010000}"/>
    <cellStyle name="Обычный 62 2" xfId="266" xr:uid="{00000000-0005-0000-0000-000009010000}"/>
    <cellStyle name="Обычный 62 3" xfId="267" xr:uid="{00000000-0005-0000-0000-00000A010000}"/>
    <cellStyle name="Обычный 63" xfId="268" xr:uid="{00000000-0005-0000-0000-00000B010000}"/>
    <cellStyle name="Обычный 63 2" xfId="269" xr:uid="{00000000-0005-0000-0000-00000C010000}"/>
    <cellStyle name="Обычный 63 3" xfId="270" xr:uid="{00000000-0005-0000-0000-00000D010000}"/>
    <cellStyle name="Обычный 64" xfId="271" xr:uid="{00000000-0005-0000-0000-00000E010000}"/>
    <cellStyle name="Обычный 64 2" xfId="272" xr:uid="{00000000-0005-0000-0000-00000F010000}"/>
    <cellStyle name="Обычный 64 3" xfId="273" xr:uid="{00000000-0005-0000-0000-000010010000}"/>
    <cellStyle name="Обычный 65" xfId="274" xr:uid="{00000000-0005-0000-0000-000011010000}"/>
    <cellStyle name="Обычный 65 2" xfId="275" xr:uid="{00000000-0005-0000-0000-000012010000}"/>
    <cellStyle name="Обычный 65 3" xfId="276" xr:uid="{00000000-0005-0000-0000-000013010000}"/>
    <cellStyle name="Обычный 66" xfId="277" xr:uid="{00000000-0005-0000-0000-000014010000}"/>
    <cellStyle name="Обычный 66 2" xfId="278" xr:uid="{00000000-0005-0000-0000-000015010000}"/>
    <cellStyle name="Обычный 66 3" xfId="279" xr:uid="{00000000-0005-0000-0000-000016010000}"/>
    <cellStyle name="Обычный 67" xfId="280" xr:uid="{00000000-0005-0000-0000-000017010000}"/>
    <cellStyle name="Обычный 67 2" xfId="281" xr:uid="{00000000-0005-0000-0000-000018010000}"/>
    <cellStyle name="Обычный 67 3" xfId="282" xr:uid="{00000000-0005-0000-0000-000019010000}"/>
    <cellStyle name="Обычный 68" xfId="283" xr:uid="{00000000-0005-0000-0000-00001A010000}"/>
    <cellStyle name="Обычный 68 2" xfId="284" xr:uid="{00000000-0005-0000-0000-00001B010000}"/>
    <cellStyle name="Обычный 68 3" xfId="285" xr:uid="{00000000-0005-0000-0000-00001C010000}"/>
    <cellStyle name="Обычный 69" xfId="286" xr:uid="{00000000-0005-0000-0000-00001D010000}"/>
    <cellStyle name="Обычный 69 2" xfId="287" xr:uid="{00000000-0005-0000-0000-00001E010000}"/>
    <cellStyle name="Обычный 69 3" xfId="288" xr:uid="{00000000-0005-0000-0000-00001F010000}"/>
    <cellStyle name="Обычный 7" xfId="289" xr:uid="{00000000-0005-0000-0000-000020010000}"/>
    <cellStyle name="Обычный 7 2" xfId="290" xr:uid="{00000000-0005-0000-0000-000021010000}"/>
    <cellStyle name="Обычный 7 3" xfId="291" xr:uid="{00000000-0005-0000-0000-000022010000}"/>
    <cellStyle name="Обычный 7 4" xfId="292" xr:uid="{00000000-0005-0000-0000-000023010000}"/>
    <cellStyle name="Обычный 70" xfId="293" xr:uid="{00000000-0005-0000-0000-000024010000}"/>
    <cellStyle name="Обычный 70 2" xfId="294" xr:uid="{00000000-0005-0000-0000-000025010000}"/>
    <cellStyle name="Обычный 70 3" xfId="295" xr:uid="{00000000-0005-0000-0000-000026010000}"/>
    <cellStyle name="Обычный 71" xfId="296" xr:uid="{00000000-0005-0000-0000-000027010000}"/>
    <cellStyle name="Обычный 71 2" xfId="297" xr:uid="{00000000-0005-0000-0000-000028010000}"/>
    <cellStyle name="Обычный 71 3" xfId="298" xr:uid="{00000000-0005-0000-0000-000029010000}"/>
    <cellStyle name="Обычный 72" xfId="299" xr:uid="{00000000-0005-0000-0000-00002A010000}"/>
    <cellStyle name="Обычный 72 2" xfId="300" xr:uid="{00000000-0005-0000-0000-00002B010000}"/>
    <cellStyle name="Обычный 72 3" xfId="301" xr:uid="{00000000-0005-0000-0000-00002C010000}"/>
    <cellStyle name="Обычный 73" xfId="302" xr:uid="{00000000-0005-0000-0000-00002D010000}"/>
    <cellStyle name="Обычный 73 2" xfId="303" xr:uid="{00000000-0005-0000-0000-00002E010000}"/>
    <cellStyle name="Обычный 73 3" xfId="304" xr:uid="{00000000-0005-0000-0000-00002F010000}"/>
    <cellStyle name="Обычный 74" xfId="305" xr:uid="{00000000-0005-0000-0000-000030010000}"/>
    <cellStyle name="Обычный 74 2" xfId="306" xr:uid="{00000000-0005-0000-0000-000031010000}"/>
    <cellStyle name="Обычный 74 3" xfId="307" xr:uid="{00000000-0005-0000-0000-000032010000}"/>
    <cellStyle name="Обычный 75" xfId="308" xr:uid="{00000000-0005-0000-0000-000033010000}"/>
    <cellStyle name="Обычный 75 2" xfId="309" xr:uid="{00000000-0005-0000-0000-000034010000}"/>
    <cellStyle name="Обычный 75 3" xfId="310" xr:uid="{00000000-0005-0000-0000-000035010000}"/>
    <cellStyle name="Обычный 76" xfId="311" xr:uid="{00000000-0005-0000-0000-000036010000}"/>
    <cellStyle name="Обычный 76 2" xfId="312" xr:uid="{00000000-0005-0000-0000-000037010000}"/>
    <cellStyle name="Обычный 76 3" xfId="313" xr:uid="{00000000-0005-0000-0000-000038010000}"/>
    <cellStyle name="Обычный 77" xfId="314" xr:uid="{00000000-0005-0000-0000-000039010000}"/>
    <cellStyle name="Обычный 77 2" xfId="315" xr:uid="{00000000-0005-0000-0000-00003A010000}"/>
    <cellStyle name="Обычный 77 3" xfId="316" xr:uid="{00000000-0005-0000-0000-00003B010000}"/>
    <cellStyle name="Обычный 78" xfId="317" xr:uid="{00000000-0005-0000-0000-00003C010000}"/>
    <cellStyle name="Обычный 79" xfId="318" xr:uid="{00000000-0005-0000-0000-00003D010000}"/>
    <cellStyle name="Обычный 8" xfId="319" xr:uid="{00000000-0005-0000-0000-00003E010000}"/>
    <cellStyle name="Обычный 8 2" xfId="320" xr:uid="{00000000-0005-0000-0000-00003F010000}"/>
    <cellStyle name="Обычный 8 3" xfId="321" xr:uid="{00000000-0005-0000-0000-000040010000}"/>
    <cellStyle name="Обычный 8 4" xfId="322" xr:uid="{00000000-0005-0000-0000-000041010000}"/>
    <cellStyle name="Обычный 80" xfId="323" xr:uid="{00000000-0005-0000-0000-000042010000}"/>
    <cellStyle name="Обычный 80 2" xfId="324" xr:uid="{00000000-0005-0000-0000-000043010000}"/>
    <cellStyle name="Обычный 80 3" xfId="325" xr:uid="{00000000-0005-0000-0000-000044010000}"/>
    <cellStyle name="Обычный 81" xfId="326" xr:uid="{00000000-0005-0000-0000-000045010000}"/>
    <cellStyle name="Обычный 81 2" xfId="327" xr:uid="{00000000-0005-0000-0000-000046010000}"/>
    <cellStyle name="Обычный 81 3" xfId="328" xr:uid="{00000000-0005-0000-0000-000047010000}"/>
    <cellStyle name="Обычный 82" xfId="329" xr:uid="{00000000-0005-0000-0000-000048010000}"/>
    <cellStyle name="Обычный 82 2" xfId="330" xr:uid="{00000000-0005-0000-0000-000049010000}"/>
    <cellStyle name="Обычный 82 3" xfId="331" xr:uid="{00000000-0005-0000-0000-00004A010000}"/>
    <cellStyle name="Обычный 83" xfId="332" xr:uid="{00000000-0005-0000-0000-00004B010000}"/>
    <cellStyle name="Обычный 83 2" xfId="333" xr:uid="{00000000-0005-0000-0000-00004C010000}"/>
    <cellStyle name="Обычный 83 3" xfId="334" xr:uid="{00000000-0005-0000-0000-00004D010000}"/>
    <cellStyle name="Обычный 84" xfId="335" xr:uid="{00000000-0005-0000-0000-00004E010000}"/>
    <cellStyle name="Обычный 84 2" xfId="336" xr:uid="{00000000-0005-0000-0000-00004F010000}"/>
    <cellStyle name="Обычный 84 3" xfId="337" xr:uid="{00000000-0005-0000-0000-000050010000}"/>
    <cellStyle name="Обычный 9" xfId="338" xr:uid="{00000000-0005-0000-0000-000051010000}"/>
    <cellStyle name="Обычный 9 2" xfId="339" xr:uid="{00000000-0005-0000-0000-000052010000}"/>
    <cellStyle name="Обычный 9 3" xfId="340" xr:uid="{00000000-0005-0000-0000-000053010000}"/>
    <cellStyle name="Плохой 2" xfId="341" xr:uid="{00000000-0005-0000-0000-000054010000}"/>
    <cellStyle name="Пояснение 2" xfId="342" xr:uid="{00000000-0005-0000-0000-000055010000}"/>
    <cellStyle name="Примечание 2" xfId="343" xr:uid="{00000000-0005-0000-0000-000056010000}"/>
    <cellStyle name="Примечание 3" xfId="344" xr:uid="{00000000-0005-0000-0000-000057010000}"/>
    <cellStyle name="Примечание 4" xfId="345" xr:uid="{00000000-0005-0000-0000-000058010000}"/>
    <cellStyle name="Примечание 5" xfId="346" xr:uid="{00000000-0005-0000-0000-000059010000}"/>
    <cellStyle name="Процентный 2" xfId="347" xr:uid="{00000000-0005-0000-0000-00005A010000}"/>
    <cellStyle name="Связанная ячейка 2" xfId="348" xr:uid="{00000000-0005-0000-0000-00005B010000}"/>
    <cellStyle name="Стиль 1" xfId="12" xr:uid="{00000000-0005-0000-0000-00005C010000}"/>
    <cellStyle name="Текст предупреждения 2" xfId="349" xr:uid="{00000000-0005-0000-0000-00005D010000}"/>
    <cellStyle name="Финансовый 2" xfId="350" xr:uid="{00000000-0005-0000-0000-00005E010000}"/>
    <cellStyle name="Финансовый 2 2" xfId="351" xr:uid="{00000000-0005-0000-0000-00005F010000}"/>
    <cellStyle name="Финансовый 3" xfId="352" xr:uid="{00000000-0005-0000-0000-000060010000}"/>
    <cellStyle name="Финансовый 4" xfId="353" xr:uid="{00000000-0005-0000-0000-000061010000}"/>
    <cellStyle name="Финансовый 5" xfId="354" xr:uid="{00000000-0005-0000-0000-000062010000}"/>
    <cellStyle name="Хороший 2" xfId="355" xr:uid="{00000000-0005-0000-0000-000063010000}"/>
  </cellStyles>
  <dxfs count="0"/>
  <tableStyles count="0" defaultTableStyle="TableStyleMedium2" defaultPivotStyle="PivotStyleLight16"/>
  <colors>
    <mruColors>
      <color rgb="FF1882DA"/>
      <color rgb="FFFF5437"/>
      <color rgb="FF1570BB"/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730762937597751E-2"/>
          <c:y val="2.1071968119311685E-2"/>
          <c:w val="0.87961499522840869"/>
          <c:h val="0.9673457871381820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'ВОДА на градирни'!$B$13</c:f>
              <c:strCache>
                <c:ptCount val="1"/>
                <c:pt idx="0">
                  <c:v>Heat rejection (cooling towers), kW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'ВОДА на градирни'!$C$7:$Z$7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'ВОДА на градирни'!$C$13:$Z$13</c:f>
              <c:numCache>
                <c:formatCode>#,##0</c:formatCode>
                <c:ptCount val="24"/>
                <c:pt idx="0">
                  <c:v>1271</c:v>
                </c:pt>
                <c:pt idx="1">
                  <c:v>1224</c:v>
                </c:pt>
                <c:pt idx="2">
                  <c:v>1226</c:v>
                </c:pt>
                <c:pt idx="3">
                  <c:v>1179</c:v>
                </c:pt>
                <c:pt idx="4">
                  <c:v>1159</c:v>
                </c:pt>
                <c:pt idx="5">
                  <c:v>1406</c:v>
                </c:pt>
                <c:pt idx="6">
                  <c:v>3238</c:v>
                </c:pt>
                <c:pt idx="7">
                  <c:v>3564</c:v>
                </c:pt>
                <c:pt idx="8">
                  <c:v>3639</c:v>
                </c:pt>
                <c:pt idx="9">
                  <c:v>3738</c:v>
                </c:pt>
                <c:pt idx="10">
                  <c:v>3684</c:v>
                </c:pt>
                <c:pt idx="11">
                  <c:v>3705</c:v>
                </c:pt>
                <c:pt idx="12">
                  <c:v>3666</c:v>
                </c:pt>
                <c:pt idx="13">
                  <c:v>3666</c:v>
                </c:pt>
                <c:pt idx="14">
                  <c:v>3579</c:v>
                </c:pt>
                <c:pt idx="15">
                  <c:v>3279</c:v>
                </c:pt>
                <c:pt idx="16">
                  <c:v>3105</c:v>
                </c:pt>
                <c:pt idx="17">
                  <c:v>3207</c:v>
                </c:pt>
                <c:pt idx="18">
                  <c:v>3099</c:v>
                </c:pt>
                <c:pt idx="19">
                  <c:v>3192</c:v>
                </c:pt>
                <c:pt idx="20">
                  <c:v>3273</c:v>
                </c:pt>
                <c:pt idx="21">
                  <c:v>3471</c:v>
                </c:pt>
                <c:pt idx="22">
                  <c:v>2332</c:v>
                </c:pt>
                <c:pt idx="23">
                  <c:v>2394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8-4684-B077-F3DE2B58E5A9}"/>
            </c:ext>
          </c:extLst>
        </c:ser>
        <c:ser>
          <c:idx val="0"/>
          <c:order val="2"/>
          <c:tx>
            <c:v>Q, kW</c:v>
          </c:tx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'ВОДА на градирни'!$C$12:$Z$12</c:f>
              <c:numCache>
                <c:formatCode>#,##0</c:formatCode>
                <c:ptCount val="24"/>
                <c:pt idx="0">
                  <c:v>1069</c:v>
                </c:pt>
                <c:pt idx="1">
                  <c:v>1019</c:v>
                </c:pt>
                <c:pt idx="2">
                  <c:v>1006</c:v>
                </c:pt>
                <c:pt idx="3">
                  <c:v>989</c:v>
                </c:pt>
                <c:pt idx="4">
                  <c:v>981</c:v>
                </c:pt>
                <c:pt idx="5">
                  <c:v>1188</c:v>
                </c:pt>
                <c:pt idx="6">
                  <c:v>2696</c:v>
                </c:pt>
                <c:pt idx="7">
                  <c:v>2919</c:v>
                </c:pt>
                <c:pt idx="8">
                  <c:v>2989</c:v>
                </c:pt>
                <c:pt idx="9">
                  <c:v>3031</c:v>
                </c:pt>
                <c:pt idx="10">
                  <c:v>3019</c:v>
                </c:pt>
                <c:pt idx="11">
                  <c:v>2950</c:v>
                </c:pt>
                <c:pt idx="12">
                  <c:v>2999</c:v>
                </c:pt>
                <c:pt idx="13">
                  <c:v>2934</c:v>
                </c:pt>
                <c:pt idx="14">
                  <c:v>2969</c:v>
                </c:pt>
                <c:pt idx="15">
                  <c:v>3028</c:v>
                </c:pt>
                <c:pt idx="16">
                  <c:v>3076</c:v>
                </c:pt>
                <c:pt idx="17">
                  <c:v>3242</c:v>
                </c:pt>
                <c:pt idx="18">
                  <c:v>3250</c:v>
                </c:pt>
                <c:pt idx="19">
                  <c:v>3076</c:v>
                </c:pt>
                <c:pt idx="20">
                  <c:v>2687</c:v>
                </c:pt>
                <c:pt idx="21">
                  <c:v>2565</c:v>
                </c:pt>
                <c:pt idx="22">
                  <c:v>1956</c:v>
                </c:pt>
                <c:pt idx="23">
                  <c:v>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8-4684-B077-F3DE2B58E5A9}"/>
            </c:ext>
          </c:extLst>
        </c:ser>
        <c:ser>
          <c:idx val="3"/>
          <c:order val="3"/>
          <c:tx>
            <c:strRef>
              <c:f>'ВОДА на градирни'!$B$14</c:f>
              <c:strCache>
                <c:ptCount val="1"/>
                <c:pt idx="0">
                  <c:v>Heat recovery</c:v>
                </c:pt>
              </c:strCache>
            </c:strRef>
          </c:tx>
          <c:spPr>
            <a:solidFill>
              <a:srgbClr val="FF543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'ВОДА на градирни'!$C$14:$Z$14</c:f>
              <c:numCache>
                <c:formatCode>#,##0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8-4684-B077-F3DE2B58E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79704"/>
        <c:axId val="97273824"/>
      </c:barChart>
      <c:lineChart>
        <c:grouping val="standard"/>
        <c:varyColors val="0"/>
        <c:ser>
          <c:idx val="2"/>
          <c:order val="0"/>
          <c:tx>
            <c:strRef>
              <c:f>'ВОДА на градирни'!$B$11</c:f>
              <c:strCache>
                <c:ptCount val="1"/>
                <c:pt idx="0">
                  <c:v>Make-Up, m3/hour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numRef>
              <c:f>'ВОДА на градирни'!$C$7:$Z$7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'ВОДА на градирни'!$C$11:$Z$11</c:f>
              <c:numCache>
                <c:formatCode>0.00</c:formatCode>
                <c:ptCount val="24"/>
                <c:pt idx="0">
                  <c:v>1.7747999999999999</c:v>
                </c:pt>
                <c:pt idx="1">
                  <c:v>1.6898400000000002</c:v>
                </c:pt>
                <c:pt idx="2">
                  <c:v>1.67256</c:v>
                </c:pt>
                <c:pt idx="3">
                  <c:v>1.61208</c:v>
                </c:pt>
                <c:pt idx="4">
                  <c:v>1.5667200000000001</c:v>
                </c:pt>
                <c:pt idx="5">
                  <c:v>1.9072800000000003</c:v>
                </c:pt>
                <c:pt idx="6">
                  <c:v>4.6310399999999996</c:v>
                </c:pt>
                <c:pt idx="7">
                  <c:v>5.1537600000000001</c:v>
                </c:pt>
                <c:pt idx="8">
                  <c:v>5.18832</c:v>
                </c:pt>
                <c:pt idx="9">
                  <c:v>5.4496799999999999</c:v>
                </c:pt>
                <c:pt idx="10">
                  <c:v>5.5058399999999992</c:v>
                </c:pt>
                <c:pt idx="11">
                  <c:v>5.7045600000000007</c:v>
                </c:pt>
                <c:pt idx="12">
                  <c:v>5.8341599999999998</c:v>
                </c:pt>
                <c:pt idx="13">
                  <c:v>6.0609599999999997</c:v>
                </c:pt>
                <c:pt idx="14">
                  <c:v>6.0890399999999998</c:v>
                </c:pt>
                <c:pt idx="15">
                  <c:v>5.6808000000000005</c:v>
                </c:pt>
                <c:pt idx="16">
                  <c:v>5.4086399999999992</c:v>
                </c:pt>
                <c:pt idx="17">
                  <c:v>5.5339200000000002</c:v>
                </c:pt>
                <c:pt idx="18">
                  <c:v>5.1991199999999997</c:v>
                </c:pt>
                <c:pt idx="19">
                  <c:v>5.1537600000000001</c:v>
                </c:pt>
                <c:pt idx="20">
                  <c:v>5.06304</c:v>
                </c:pt>
                <c:pt idx="21">
                  <c:v>5.18832</c:v>
                </c:pt>
                <c:pt idx="22">
                  <c:v>3.3868800000000001</c:v>
                </c:pt>
                <c:pt idx="23">
                  <c:v>3.3753600000000001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378-4684-B077-F3DE2B58E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77352"/>
        <c:axId val="97275784"/>
      </c:lineChart>
      <c:valAx>
        <c:axId val="97275784"/>
        <c:scaling>
          <c:orientation val="minMax"/>
        </c:scaling>
        <c:delete val="0"/>
        <c:axPos val="r"/>
        <c:numFmt formatCode="#,##0.00" sourceLinked="0"/>
        <c:majorTickMark val="out"/>
        <c:minorTickMark val="none"/>
        <c:tickLblPos val="nextTo"/>
        <c:crossAx val="97277352"/>
        <c:crosses val="max"/>
        <c:crossBetween val="between"/>
      </c:valAx>
      <c:catAx>
        <c:axId val="9727735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97275784"/>
        <c:crosses val="autoZero"/>
        <c:auto val="1"/>
        <c:lblAlgn val="ctr"/>
        <c:lblOffset val="100"/>
        <c:noMultiLvlLbl val="0"/>
      </c:catAx>
      <c:valAx>
        <c:axId val="97273824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crossAx val="97279704"/>
        <c:crosses val="autoZero"/>
        <c:crossBetween val="between"/>
      </c:valAx>
      <c:catAx>
        <c:axId val="97279704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9727382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5650392300510418"/>
          <c:y val="2.9231792644898637E-2"/>
          <c:w val="0.13723373002441769"/>
          <c:h val="0.13613063865567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144781</xdr:rowOff>
    </xdr:from>
    <xdr:to>
      <xdr:col>26</xdr:col>
      <xdr:colOff>261257</xdr:colOff>
      <xdr:row>37</xdr:row>
      <xdr:rowOff>45685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0.94125</cdr:x>
      <cdr:y>0.00438</cdr:y>
    </cdr:from>
    <cdr:to>
      <cdr:x>0.96909</cdr:x>
      <cdr:y>0.03123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972D054F-0AAE-4178-95F8-857543D3C93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6742228" y="32657"/>
          <a:ext cx="495238" cy="200000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P-1073%20'Evrasia%20Tower'\Documents%20&amp;%20Calculations\Mechanical\1073-&#1061;&#1072;&#1088;&#1072;&#1082;&#1090;&#1077;&#1088;&#1080;&#1089;&#1090;&#1080;&#1082;&#1072;%20&#1089;&#1080;&#1089;&#1090;&#1077;&#108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01\MP-1073%20'Evrasia%20Tower'\Documents%20&amp;%20Calculations\Mechanical\1073-&#1061;&#1072;&#1088;&#1072;&#1082;&#1090;&#1077;&#1088;&#1080;&#1089;&#1090;&#1080;&#1082;&#1072;%20&#1089;&#1080;&#1089;&#1090;&#1077;&#108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P-1054%20'Silikatny'\Documents%20&amp;%20Calculations\Mechanical\&#1056;&#1072;&#1089;&#1095;&#1077;&#1090;&#1099;\MP-1054-&#1056;&#1072;&#1089;&#1095;&#1077;&#1090;%20&#1089;&#1080;&#1089;&#1090;&#1077;&#1084;%20&#1054;&#1042;_Rev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01\MP-1054%20'Silikatny'\Documents%20&amp;%20Calculations\Mechanical\&#1056;&#1072;&#1089;&#1095;&#1077;&#1090;&#1099;\MP-1054-&#1056;&#1072;&#1089;&#1095;&#1077;&#1090;%20&#1089;&#1080;&#1089;&#1090;&#1077;&#1084;%20&#1054;&#1042;_Re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тог "/>
      <sheetName val="Характеристики систем"/>
      <sheetName val="Характеристики систем ПД и ВД"/>
      <sheetName val="Холодоснабжение"/>
      <sheetName val="Холодоснабжение насосы"/>
      <sheetName val="Расходы"/>
      <sheetName val="Тепловые завесы"/>
      <sheetName val="Холодоснабжение 2008.08.15"/>
      <sheetName val="Характеристики систем 2009.2.09"/>
      <sheetName val="Характеристика систем 2008.06.6"/>
      <sheetName val="Характеристика систем 2008.7.18"/>
      <sheetName val="Характеристика систем 2008.7.30"/>
      <sheetName val="Характеристика систем 08.11.25"/>
      <sheetName val="Хар-ка систем 09.03.27 5 этаж"/>
      <sheetName val="Х-ка систем 22 этаж 09.03.27"/>
      <sheetName val="Лист1"/>
      <sheetName val="хар-ка систем 22 этаж 09.04.17"/>
    </sheetNames>
    <sheetDataSet>
      <sheetData sheetId="0" refreshError="1"/>
      <sheetData sheetId="1">
        <row r="1">
          <cell r="A1">
            <v>0.55000000000000004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тог "/>
      <sheetName val="Характеристики систем"/>
      <sheetName val="Характеристики систем ПД и ВД"/>
      <sheetName val="Холодоснабжение"/>
      <sheetName val="Холодоснабжение насосы"/>
      <sheetName val="Расходы"/>
      <sheetName val="Тепловые завесы"/>
      <sheetName val="Холодоснабжение 2008.08.15"/>
      <sheetName val="Характеристики систем 2009.2.09"/>
      <sheetName val="Характеристика систем 2008.06.6"/>
      <sheetName val="Характеристика систем 2008.7.18"/>
      <sheetName val="Характеристика систем 2008.7.30"/>
      <sheetName val="Характеристика систем 08.11.25"/>
      <sheetName val="Хар-ка систем 09.03.27 5 этаж"/>
      <sheetName val="Х-ка систем 22 этаж 09.03.27"/>
      <sheetName val="Лист1"/>
      <sheetName val="хар-ка систем 22 этаж 09.04.17"/>
    </sheetNames>
    <sheetDataSet>
      <sheetData sheetId="0"/>
      <sheetData sheetId="1">
        <row r="1">
          <cell r="A1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одные данные"/>
      <sheetName val="Список помещений"/>
      <sheetName val="Результаты по зданиям"/>
      <sheetName val="Список оборудования ОВ"/>
      <sheetName val="Список оборудования ПД"/>
      <sheetName val=" Оборуд. на печать"/>
      <sheetName val="ТЕПЛОПОТЕРИ"/>
      <sheetName val="НАГРУЗКИ СИСТЕМ ТЕПЛОСНАБЖЕНИЯ"/>
      <sheetName val="НАГРУЗКИ СИСТЕМ КВ"/>
      <sheetName val="Сбор нагрузок по электрике"/>
      <sheetName val="Схема"/>
    </sheetNames>
    <sheetDataSet>
      <sheetData sheetId="0">
        <row r="3">
          <cell r="B3">
            <v>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одные данные"/>
      <sheetName val="Список помещений"/>
      <sheetName val="Результаты по зданиям"/>
      <sheetName val="Список оборудования ОВ"/>
      <sheetName val="Список оборудования ПД"/>
      <sheetName val=" Оборуд. на печать"/>
      <sheetName val="ТЕПЛОПОТЕРИ"/>
      <sheetName val="НАГРУЗКИ СИСТЕМ ТЕПЛОСНАБЖЕНИЯ"/>
      <sheetName val="НАГРУЗКИ СИСТЕМ КВ"/>
      <sheetName val="Сбор нагрузок по электрике"/>
      <sheetName val="Схема"/>
    </sheetNames>
    <sheetDataSet>
      <sheetData sheetId="0">
        <row r="3">
          <cell r="B3">
            <v>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B1:Z14"/>
  <sheetViews>
    <sheetView tabSelected="1" zoomScale="85" zoomScaleNormal="85" workbookViewId="0">
      <selection activeCell="B7" sqref="B7:Z14"/>
    </sheetView>
  </sheetViews>
  <sheetFormatPr defaultColWidth="9.140625" defaultRowHeight="15"/>
  <cols>
    <col min="1" max="1" width="9.140625" style="3"/>
    <col min="2" max="2" width="33.28515625" style="3" bestFit="1" customWidth="1"/>
    <col min="3" max="26" width="9.5703125" style="3" customWidth="1"/>
    <col min="27" max="16384" width="9.140625" style="3"/>
  </cols>
  <sheetData>
    <row r="1" spans="2:26" ht="15.75" thickBot="1">
      <c r="B1" s="1" t="s">
        <v>12</v>
      </c>
      <c r="C1" s="2">
        <v>1320</v>
      </c>
      <c r="D1" s="42" t="s">
        <v>6</v>
      </c>
      <c r="E1" s="43"/>
    </row>
    <row r="2" spans="2:26" ht="15.75" thickBot="1">
      <c r="B2" s="4" t="s">
        <v>0</v>
      </c>
      <c r="C2" s="5">
        <v>26.9</v>
      </c>
      <c r="D2" s="44">
        <f>C2*3</f>
        <v>80.699999999999989</v>
      </c>
      <c r="E2" s="45"/>
    </row>
    <row r="3" spans="2:26" ht="15.75" thickBot="1">
      <c r="B3" s="6" t="s">
        <v>1</v>
      </c>
      <c r="C3" s="7">
        <v>0.53900000000000003</v>
      </c>
      <c r="D3" s="40">
        <f>C3*3</f>
        <v>1.617</v>
      </c>
      <c r="E3" s="41"/>
    </row>
    <row r="4" spans="2:26" ht="15.75" thickBot="1">
      <c r="B4" s="6" t="s">
        <v>2</v>
      </c>
      <c r="C4" s="7">
        <v>0.35899999999999999</v>
      </c>
      <c r="D4" s="40">
        <f>C4*3</f>
        <v>1.077</v>
      </c>
      <c r="E4" s="41"/>
    </row>
    <row r="5" spans="2:26" ht="15.75" thickBot="1">
      <c r="B5" s="8" t="s">
        <v>3</v>
      </c>
      <c r="C5" s="9">
        <f>SUM(C3:C4)</f>
        <v>0.89800000000000002</v>
      </c>
      <c r="D5" s="40">
        <f>C5*3</f>
        <v>2.694</v>
      </c>
      <c r="E5" s="41"/>
    </row>
    <row r="6" spans="2:26" ht="15.75" thickBot="1">
      <c r="B6" s="8" t="s">
        <v>4</v>
      </c>
      <c r="C6" s="14">
        <v>777</v>
      </c>
      <c r="D6" s="40">
        <f>C6*3</f>
        <v>2331</v>
      </c>
      <c r="E6" s="41"/>
    </row>
    <row r="7" spans="2:26" s="12" customFormat="1" ht="16.5" thickBot="1">
      <c r="B7" s="10" t="s">
        <v>5</v>
      </c>
      <c r="C7" s="11">
        <v>0</v>
      </c>
      <c r="D7" s="11">
        <v>1</v>
      </c>
      <c r="E7" s="11">
        <v>2</v>
      </c>
      <c r="F7" s="11">
        <v>3</v>
      </c>
      <c r="G7" s="11">
        <v>4</v>
      </c>
      <c r="H7" s="11">
        <v>5</v>
      </c>
      <c r="I7" s="11">
        <v>6</v>
      </c>
      <c r="J7" s="11">
        <v>7</v>
      </c>
      <c r="K7" s="11">
        <v>8</v>
      </c>
      <c r="L7" s="11">
        <v>9</v>
      </c>
      <c r="M7" s="11">
        <v>10</v>
      </c>
      <c r="N7" s="11">
        <v>11</v>
      </c>
      <c r="O7" s="11">
        <v>12</v>
      </c>
      <c r="P7" s="11">
        <v>13</v>
      </c>
      <c r="Q7" s="11">
        <v>14</v>
      </c>
      <c r="R7" s="11">
        <v>15</v>
      </c>
      <c r="S7" s="11">
        <v>16</v>
      </c>
      <c r="T7" s="11">
        <v>17</v>
      </c>
      <c r="U7" s="11">
        <v>18</v>
      </c>
      <c r="V7" s="11">
        <v>19</v>
      </c>
      <c r="W7" s="11">
        <v>20</v>
      </c>
      <c r="X7" s="11">
        <v>21</v>
      </c>
      <c r="Y7" s="11">
        <v>22</v>
      </c>
      <c r="Z7" s="11">
        <v>23</v>
      </c>
    </row>
    <row r="8" spans="2:26" ht="15.75" thickBot="1">
      <c r="B8" s="38" t="s">
        <v>7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2:26" ht="15.75" thickBot="1">
      <c r="B9" s="15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3</v>
      </c>
      <c r="J9" s="16">
        <v>3</v>
      </c>
      <c r="K9" s="16">
        <v>3</v>
      </c>
      <c r="L9" s="16">
        <v>3</v>
      </c>
      <c r="M9" s="16">
        <v>3</v>
      </c>
      <c r="N9" s="16">
        <v>3</v>
      </c>
      <c r="O9" s="16">
        <v>3</v>
      </c>
      <c r="P9" s="16">
        <v>3</v>
      </c>
      <c r="Q9" s="16">
        <v>3</v>
      </c>
      <c r="R9" s="16">
        <v>3</v>
      </c>
      <c r="S9" s="16">
        <v>3</v>
      </c>
      <c r="T9" s="16">
        <v>3</v>
      </c>
      <c r="U9" s="16">
        <v>3</v>
      </c>
      <c r="V9" s="16">
        <v>3</v>
      </c>
      <c r="W9" s="16">
        <v>3</v>
      </c>
      <c r="X9" s="16">
        <v>3</v>
      </c>
      <c r="Y9" s="16">
        <v>2</v>
      </c>
      <c r="Z9" s="16">
        <v>2</v>
      </c>
    </row>
    <row r="10" spans="2:26" ht="15.75" thickBot="1">
      <c r="B10" s="15" t="s">
        <v>9</v>
      </c>
      <c r="C10" s="16">
        <v>1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2</v>
      </c>
      <c r="J10" s="16">
        <v>3</v>
      </c>
      <c r="K10" s="16">
        <v>3</v>
      </c>
      <c r="L10" s="16">
        <v>3</v>
      </c>
      <c r="M10" s="16">
        <v>3</v>
      </c>
      <c r="N10" s="16">
        <v>3</v>
      </c>
      <c r="O10" s="16">
        <v>3</v>
      </c>
      <c r="P10" s="16">
        <v>3</v>
      </c>
      <c r="Q10" s="16">
        <v>3</v>
      </c>
      <c r="R10" s="16">
        <v>3</v>
      </c>
      <c r="S10" s="16">
        <v>3</v>
      </c>
      <c r="T10" s="16">
        <v>3</v>
      </c>
      <c r="U10" s="16">
        <v>3</v>
      </c>
      <c r="V10" s="16">
        <v>3</v>
      </c>
      <c r="W10" s="16">
        <v>3</v>
      </c>
      <c r="X10" s="16">
        <v>3</v>
      </c>
      <c r="Y10" s="16">
        <v>2</v>
      </c>
      <c r="Z10" s="16">
        <v>2</v>
      </c>
    </row>
    <row r="11" spans="2:26" ht="15.75" thickBot="1">
      <c r="B11" s="48" t="s">
        <v>11</v>
      </c>
      <c r="C11" s="13">
        <v>1.7747999999999999</v>
      </c>
      <c r="D11" s="13">
        <v>1.6898400000000002</v>
      </c>
      <c r="E11" s="13">
        <v>1.67256</v>
      </c>
      <c r="F11" s="13">
        <v>1.61208</v>
      </c>
      <c r="G11" s="13">
        <v>1.5667200000000001</v>
      </c>
      <c r="H11" s="13">
        <v>1.9072800000000003</v>
      </c>
      <c r="I11" s="13">
        <v>4.6310399999999996</v>
      </c>
      <c r="J11" s="13">
        <v>5.1537600000000001</v>
      </c>
      <c r="K11" s="13">
        <v>5.18832</v>
      </c>
      <c r="L11" s="13">
        <v>5.4496799999999999</v>
      </c>
      <c r="M11" s="13">
        <v>5.5058399999999992</v>
      </c>
      <c r="N11" s="13">
        <v>5.7045600000000007</v>
      </c>
      <c r="O11" s="13">
        <v>5.8341599999999998</v>
      </c>
      <c r="P11" s="13">
        <v>6.0609599999999997</v>
      </c>
      <c r="Q11" s="13">
        <v>6.0890399999999998</v>
      </c>
      <c r="R11" s="13">
        <v>5.6808000000000005</v>
      </c>
      <c r="S11" s="13">
        <v>5.4086399999999992</v>
      </c>
      <c r="T11" s="13">
        <v>5.5339200000000002</v>
      </c>
      <c r="U11" s="13">
        <v>5.1991199999999997</v>
      </c>
      <c r="V11" s="13">
        <v>5.1537600000000001</v>
      </c>
      <c r="W11" s="13">
        <v>5.06304</v>
      </c>
      <c r="X11" s="13">
        <v>5.18832</v>
      </c>
      <c r="Y11" s="13">
        <v>3.3868800000000001</v>
      </c>
      <c r="Z11" s="13">
        <v>3.3753600000000001</v>
      </c>
    </row>
    <row r="12" spans="2:26" ht="15.75" thickBot="1">
      <c r="B12" s="49" t="s">
        <v>10</v>
      </c>
      <c r="C12" s="17">
        <v>1069</v>
      </c>
      <c r="D12" s="18">
        <v>1019</v>
      </c>
      <c r="E12" s="19">
        <v>1006</v>
      </c>
      <c r="F12" s="20">
        <v>989</v>
      </c>
      <c r="G12" s="20">
        <v>981</v>
      </c>
      <c r="H12" s="21">
        <v>1188</v>
      </c>
      <c r="I12" s="22">
        <v>2696</v>
      </c>
      <c r="J12" s="23">
        <v>2919</v>
      </c>
      <c r="K12" s="24">
        <v>2989</v>
      </c>
      <c r="L12" s="25">
        <v>3031</v>
      </c>
      <c r="M12" s="25">
        <v>3019</v>
      </c>
      <c r="N12" s="26">
        <v>2950</v>
      </c>
      <c r="O12" s="27">
        <v>2999</v>
      </c>
      <c r="P12" s="28">
        <v>2934</v>
      </c>
      <c r="Q12" s="29">
        <v>2969</v>
      </c>
      <c r="R12" s="25">
        <v>3028</v>
      </c>
      <c r="S12" s="30">
        <v>3076</v>
      </c>
      <c r="T12" s="31">
        <v>3242</v>
      </c>
      <c r="U12" s="36">
        <v>3250</v>
      </c>
      <c r="V12" s="30">
        <v>3076</v>
      </c>
      <c r="W12" s="32">
        <v>2687</v>
      </c>
      <c r="X12" s="33">
        <v>2565</v>
      </c>
      <c r="Y12" s="34">
        <v>1956</v>
      </c>
      <c r="Z12" s="35">
        <v>1837</v>
      </c>
    </row>
    <row r="13" spans="2:26">
      <c r="B13" s="46" t="s">
        <v>14</v>
      </c>
      <c r="C13" s="47">
        <v>1271</v>
      </c>
      <c r="D13" s="47">
        <v>1224</v>
      </c>
      <c r="E13" s="47">
        <v>1226</v>
      </c>
      <c r="F13" s="47">
        <v>1179</v>
      </c>
      <c r="G13" s="47">
        <v>1159</v>
      </c>
      <c r="H13" s="47">
        <v>1406</v>
      </c>
      <c r="I13" s="47">
        <v>3238</v>
      </c>
      <c r="J13" s="47">
        <v>3564</v>
      </c>
      <c r="K13" s="47">
        <v>3639</v>
      </c>
      <c r="L13" s="47">
        <v>3738</v>
      </c>
      <c r="M13" s="47">
        <v>3684</v>
      </c>
      <c r="N13" s="47">
        <v>3705</v>
      </c>
      <c r="O13" s="47">
        <v>3666</v>
      </c>
      <c r="P13" s="47">
        <v>3666</v>
      </c>
      <c r="Q13" s="47">
        <v>3579</v>
      </c>
      <c r="R13" s="47">
        <v>3279</v>
      </c>
      <c r="S13" s="47">
        <v>3105</v>
      </c>
      <c r="T13" s="47">
        <v>3207</v>
      </c>
      <c r="U13" s="47">
        <v>3099</v>
      </c>
      <c r="V13" s="47">
        <v>3192</v>
      </c>
      <c r="W13" s="47">
        <v>3273</v>
      </c>
      <c r="X13" s="47">
        <v>3471</v>
      </c>
      <c r="Y13" s="47">
        <v>2332</v>
      </c>
      <c r="Z13" s="47">
        <v>2394</v>
      </c>
    </row>
    <row r="14" spans="2:26">
      <c r="B14" s="50" t="s">
        <v>13</v>
      </c>
      <c r="C14" s="51">
        <v>100</v>
      </c>
      <c r="D14" s="51">
        <v>100</v>
      </c>
      <c r="E14" s="51">
        <v>100</v>
      </c>
      <c r="F14" s="51">
        <v>100</v>
      </c>
      <c r="G14" s="51">
        <v>100</v>
      </c>
      <c r="H14" s="51">
        <v>100</v>
      </c>
      <c r="I14" s="51">
        <v>150</v>
      </c>
      <c r="J14" s="51">
        <v>150</v>
      </c>
      <c r="K14" s="51">
        <v>150</v>
      </c>
      <c r="L14" s="51">
        <v>150</v>
      </c>
      <c r="M14" s="51">
        <v>150</v>
      </c>
      <c r="N14" s="51">
        <v>200</v>
      </c>
      <c r="O14" s="51">
        <v>200</v>
      </c>
      <c r="P14" s="51">
        <v>200</v>
      </c>
      <c r="Q14" s="51">
        <v>200</v>
      </c>
      <c r="R14" s="51">
        <v>200</v>
      </c>
      <c r="S14" s="51">
        <v>200</v>
      </c>
      <c r="T14" s="51">
        <v>200</v>
      </c>
      <c r="U14" s="51">
        <v>200</v>
      </c>
      <c r="V14" s="51">
        <v>100</v>
      </c>
      <c r="W14" s="51">
        <v>100</v>
      </c>
      <c r="X14" s="51">
        <v>100</v>
      </c>
      <c r="Y14" s="51">
        <v>100</v>
      </c>
      <c r="Z14" s="51">
        <v>100</v>
      </c>
    </row>
  </sheetData>
  <mergeCells count="7">
    <mergeCell ref="B8:Z8"/>
    <mergeCell ref="D6:E6"/>
    <mergeCell ref="D1:E1"/>
    <mergeCell ref="D2:E2"/>
    <mergeCell ref="D3:E3"/>
    <mergeCell ref="D4:E4"/>
    <mergeCell ref="D5:E5"/>
  </mergeCells>
  <conditionalFormatting sqref="C11:Z11">
    <cfRule type="colorScale" priority="1">
      <colorScale>
        <cfvo type="min"/>
        <cfvo type="max"/>
        <color rgb="FF63BE7B"/>
        <color rgb="FFFFEF9C"/>
      </colorScale>
    </cfRule>
  </conditionalFormatting>
  <pageMargins left="0.25" right="0.25" top="0.75" bottom="0.75" header="0.3" footer="0.3"/>
  <pageSetup paperSize="8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9:Y39"/>
  <sheetViews>
    <sheetView zoomScale="70" zoomScaleNormal="70" workbookViewId="0">
      <selection activeCell="B39" sqref="B39:Y39"/>
    </sheetView>
  </sheetViews>
  <sheetFormatPr defaultRowHeight="15"/>
  <sheetData>
    <row r="39" spans="2:25">
      <c r="B39" s="37">
        <v>0</v>
      </c>
      <c r="C39" s="37">
        <v>1</v>
      </c>
      <c r="D39" s="37">
        <v>2</v>
      </c>
      <c r="E39" s="37">
        <v>3</v>
      </c>
      <c r="F39" s="37">
        <v>4</v>
      </c>
      <c r="G39" s="37">
        <v>5</v>
      </c>
      <c r="H39" s="37">
        <v>6</v>
      </c>
      <c r="I39" s="37">
        <v>7</v>
      </c>
      <c r="J39" s="37">
        <v>8</v>
      </c>
      <c r="K39" s="37">
        <v>9</v>
      </c>
      <c r="L39" s="37">
        <v>10</v>
      </c>
      <c r="M39" s="37">
        <v>11</v>
      </c>
      <c r="N39" s="37">
        <v>12</v>
      </c>
      <c r="O39" s="37">
        <v>13</v>
      </c>
      <c r="P39" s="37">
        <v>14</v>
      </c>
      <c r="Q39" s="37">
        <v>15</v>
      </c>
      <c r="R39" s="37">
        <v>16</v>
      </c>
      <c r="S39" s="37">
        <v>17</v>
      </c>
      <c r="T39" s="37">
        <v>18</v>
      </c>
      <c r="U39" s="37">
        <v>19</v>
      </c>
      <c r="V39" s="37">
        <v>20</v>
      </c>
      <c r="W39" s="37">
        <v>21</v>
      </c>
      <c r="X39" s="37">
        <v>22</v>
      </c>
      <c r="Y39" s="37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ВОДА на градирни</vt:lpstr>
      <vt:lpstr>Лист1</vt:lpstr>
      <vt:lpstr>Лист2</vt:lpstr>
    </vt:vector>
  </TitlesOfParts>
  <Company>Metropolis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mikhail.terekhov</cp:lastModifiedBy>
  <cp:lastPrinted>2018-08-29T14:06:25Z</cp:lastPrinted>
  <dcterms:created xsi:type="dcterms:W3CDTF">2008-11-25T09:00:32Z</dcterms:created>
  <dcterms:modified xsi:type="dcterms:W3CDTF">2021-04-07T14:02:59Z</dcterms:modified>
</cp:coreProperties>
</file>